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brdnmaretin5/Downloads/"/>
    </mc:Choice>
  </mc:AlternateContent>
  <xr:revisionPtr revIDLastSave="0" documentId="8_{A6A6F3EF-8734-2B4A-BC65-B284A1DE9F12}" xr6:coauthVersionLast="47" xr6:coauthVersionMax="47" xr10:uidLastSave="{00000000-0000-0000-0000-000000000000}"/>
  <bookViews>
    <workbookView xWindow="0" yWindow="760" windowWidth="34200" windowHeight="21380" xr2:uid="{B285DFD3-BD8B-634B-9209-6301E7AFA5E4}"/>
  </bookViews>
  <sheets>
    <sheet name="Raw_Data" sheetId="1" r:id="rId1"/>
    <sheet name="Pivot_Tables" sheetId="3" r:id="rId2"/>
    <sheet name="Dashboard" sheetId="2" r:id="rId3"/>
  </sheets>
  <calcPr calcId="181029"/>
  <pivotCaches>
    <pivotCache cacheId="2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</calcChain>
</file>

<file path=xl/sharedStrings.xml><?xml version="1.0" encoding="utf-8"?>
<sst xmlns="http://schemas.openxmlformats.org/spreadsheetml/2006/main" count="274" uniqueCount="106">
  <si>
    <t>Book_Title</t>
  </si>
  <si>
    <t>Author</t>
  </si>
  <si>
    <t>Genre</t>
  </si>
  <si>
    <t>Pages</t>
  </si>
  <si>
    <t>Rating</t>
  </si>
  <si>
    <t>Start_Date</t>
  </si>
  <si>
    <t>Finish_Date</t>
  </si>
  <si>
    <t>Format</t>
  </si>
  <si>
    <t>Language</t>
  </si>
  <si>
    <t>Fourth Wing</t>
  </si>
  <si>
    <t>Rebecca Yarros</t>
  </si>
  <si>
    <t>English</t>
  </si>
  <si>
    <t>Normal People</t>
  </si>
  <si>
    <t>Sally Rooney</t>
  </si>
  <si>
    <t>Fantasy</t>
  </si>
  <si>
    <t>Fiction</t>
  </si>
  <si>
    <t>They Both Die at the End</t>
  </si>
  <si>
    <t>Adam Silvera</t>
  </si>
  <si>
    <t>Young Adult</t>
  </si>
  <si>
    <t>The Midnight Library</t>
  </si>
  <si>
    <t>Matt Haig</t>
  </si>
  <si>
    <t>Hardcover</t>
  </si>
  <si>
    <t>Iron Flame</t>
  </si>
  <si>
    <t>Ready Player One</t>
  </si>
  <si>
    <t>Ernest Cline</t>
  </si>
  <si>
    <t>Science Fiction</t>
  </si>
  <si>
    <t>A Perfect Vintage</t>
  </si>
  <si>
    <t>The Secret History</t>
  </si>
  <si>
    <t>Romance</t>
  </si>
  <si>
    <t>Funny Story</t>
  </si>
  <si>
    <t>Emily Henry</t>
  </si>
  <si>
    <t>Play It as It Lays</t>
  </si>
  <si>
    <t>Joan Didion</t>
  </si>
  <si>
    <t>Literary Fiction</t>
  </si>
  <si>
    <t>Tomorrow, and Tomorrow, and Tomorrow</t>
  </si>
  <si>
    <t>Gabrielle Zevin</t>
  </si>
  <si>
    <t>Conversations with Friends</t>
  </si>
  <si>
    <t>A little Life</t>
  </si>
  <si>
    <t>Hanya Yanagihara</t>
  </si>
  <si>
    <t>Cleopatra and Frankenstein</t>
  </si>
  <si>
    <t>Coco Mellors</t>
  </si>
  <si>
    <t>Mickey 7</t>
  </si>
  <si>
    <t>Edward Ashton</t>
  </si>
  <si>
    <t>Intermezzo</t>
  </si>
  <si>
    <t>Una Corte de Rosas Y Espinas</t>
  </si>
  <si>
    <t>Sarah J. Mass</t>
  </si>
  <si>
    <t>Spanish</t>
  </si>
  <si>
    <t>Onyx Storm</t>
  </si>
  <si>
    <t>A Court of Mist and Fury</t>
  </si>
  <si>
    <t>A Court of Wings and Ruin</t>
  </si>
  <si>
    <t>A Court of Frost and Starlight</t>
  </si>
  <si>
    <t>A Court of Silver Flames</t>
  </si>
  <si>
    <t>A Certain Hunger</t>
  </si>
  <si>
    <t>Chelsea G. Summers</t>
  </si>
  <si>
    <t>Chelsea Fagan</t>
  </si>
  <si>
    <t>The Assassin's Blade</t>
  </si>
  <si>
    <t>Throne of Glass</t>
  </si>
  <si>
    <t>The Stranger</t>
  </si>
  <si>
    <t>Albert Camus</t>
  </si>
  <si>
    <t>Crown of Midnight</t>
  </si>
  <si>
    <t>Heir of Fire</t>
  </si>
  <si>
    <t>Queen of Shadows</t>
  </si>
  <si>
    <t>Empire of Storms</t>
  </si>
  <si>
    <t>Tower of Dawn</t>
  </si>
  <si>
    <t>Kingdom of Ash</t>
  </si>
  <si>
    <t>On Earth We're Briefly Gorgeous</t>
  </si>
  <si>
    <t>Ocean Vuong</t>
  </si>
  <si>
    <t>If We Were Villains</t>
  </si>
  <si>
    <t>M.L. Rio</t>
  </si>
  <si>
    <t>House of Earth and Blood</t>
  </si>
  <si>
    <t>House of Sky and Breath</t>
  </si>
  <si>
    <t>The Perks of Being a Wallflower</t>
  </si>
  <si>
    <t>Stephen Chbosky</t>
  </si>
  <si>
    <t>House of Flame and Shadow</t>
  </si>
  <si>
    <t>Brave New World</t>
  </si>
  <si>
    <t>Aldous Huxley</t>
  </si>
  <si>
    <t>Slouching Towards Bethlehem</t>
  </si>
  <si>
    <t>Nonfiction</t>
  </si>
  <si>
    <t>Phantasma</t>
  </si>
  <si>
    <t>Kaylie Smith</t>
  </si>
  <si>
    <t>Reading_Days</t>
  </si>
  <si>
    <t>Finish_Month</t>
  </si>
  <si>
    <t>Year</t>
  </si>
  <si>
    <t>Books Read</t>
  </si>
  <si>
    <t>Average Rating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</si>
  <si>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</si>
  <si>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</si>
  <si>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</si>
  <si>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</si>
  <si>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</si>
  <si>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</si>
  <si>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</si>
  <si>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</si>
  <si>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</si>
  <si>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Nov</t>
  </si>
  <si>
    <t>Dec</t>
  </si>
  <si>
    <t>Books Finished</t>
  </si>
  <si>
    <t xml:space="preserve">Month </t>
  </si>
  <si>
    <t>Average Reading Days</t>
  </si>
  <si>
    <t>Genres</t>
  </si>
  <si>
    <t>Donna Tartt</t>
  </si>
  <si>
    <t>Personal Reading Analytics Dashboard (2024-2026)</t>
  </si>
  <si>
    <r>
      <t xml:space="preserve">Total Books
</t>
    </r>
    <r>
      <rPr>
        <b/>
        <sz val="28"/>
        <color theme="0"/>
        <rFont val="Aptos Narrow (Body)"/>
      </rPr>
      <t>42</t>
    </r>
  </si>
  <si>
    <r>
      <t xml:space="preserve">Average Rating
</t>
    </r>
    <r>
      <rPr>
        <b/>
        <sz val="28"/>
        <color theme="0"/>
        <rFont val="Aptos Narrow (Body)"/>
      </rPr>
      <t>4.0</t>
    </r>
  </si>
  <si>
    <r>
      <t xml:space="preserve">Top Genre
</t>
    </r>
    <r>
      <rPr>
        <b/>
        <sz val="28"/>
        <color theme="0"/>
        <rFont val="Aptos Narrow (Body)"/>
      </rPr>
      <t>Fantasy</t>
    </r>
  </si>
  <si>
    <r>
      <t xml:space="preserve">Pages Read
</t>
    </r>
    <r>
      <rPr>
        <b/>
        <sz val="28"/>
        <color theme="0"/>
        <rFont val="Aptos Narrow (Body)"/>
      </rPr>
      <t>22,000 +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</si>
</sst>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mmm\ dd\ yyyy"/>
  </numFmts>
  <fonts count="8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 (Body)"/>
    </font>
    <font>
      <b/>
      <sz val="20"/>
      <color theme="0"/>
      <name val="Aptos Narrow (Body)"/>
    </font>
    <font>
      <b/>
      <sz val="14"/>
      <color theme="0"/>
      <name val="Aptos Narrow (Body)"/>
    </font>
    <font>
      <b/>
      <sz val="28"/>
      <color theme="0"/>
      <name val="Aptos Narrow (Body)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6" fontId="0" fillId="0" borderId="0" xfId="0" applyNumberFormat="1"/>
    <xf numFmtId="0" fontId="2" fillId="0" borderId="0" xfId="0" applyFont="1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5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/>
    <xf numFmtId="0" fontId="1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Aptos Narrow"/>
        <scheme val="minor"/>
      </font>
      <alignment horizontal="center" vertical="bottom" textRotation="0" wrapText="0" indent="0" justifyLastLine="0" shrinkToFit="0" readingOrder="0"/>
    </dxf>
    <dxf>
      <numFmt numFmtId="166" formatCode="mmm\ dd\ yyyy"/>
    </dxf>
    <dxf>
      <numFmt numFmtId="166" formatCode="mmm\ dd\ 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[reading-analytics-dashboard.xlsx]Pivot_Tables!PivotTable2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</a:t>
            </a:r>
            <a:r>
              <a:rPr lang="en-US" baseline="0"/>
              <a:t> Read Genres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Pivot_Tables!$A$2:$A$8</c:f>
              <c:strCache>
                <c:ptCount val="7"/>
                <c:pt idx="0">
                  <c:v>Fantasy</c:v>
                </c:pt>
                <c:pt idx="1">
                  <c:v>Fiction</c:v>
                </c:pt>
                <c:pt idx="2">
                  <c:v>Romance</c:v>
                </c:pt>
                <c:pt idx="3">
                  <c:v>Science Fiction</c:v>
                </c:pt>
                <c:pt idx="4">
                  <c:v>Young Adult</c:v>
                </c:pt>
                <c:pt idx="5">
                  <c:v>Literary Fiction</c:v>
                </c:pt>
                <c:pt idx="6">
                  <c:v>Nonfiction</c:v>
                </c:pt>
              </c:strCache>
            </c:strRef>
          </c:cat>
          <c:val>
            <c:numRef>
              <c:f>Pivot_Tables!$B$2:$B$8</c:f>
              <c:numCache>
                <c:formatCode>General</c:formatCode>
                <c:ptCount val="7"/>
                <c:pt idx="0">
                  <c:v>21</c:v>
                </c:pt>
                <c:pt idx="1">
                  <c:v>15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3D-3647-9E0D-93EEB80B94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69959280"/>
        <c:axId val="1069920688"/>
      </c:barChart>
      <c:catAx>
        <c:axId val="1069959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920688"/>
        <c:crosses val="autoZero"/>
        <c:auto val="1"/>
        <c:lblAlgn val="ctr"/>
        <c:lblOffset val="100"/>
        <c:noMultiLvlLbl val="0"/>
      </c:catAx>
      <c:valAx>
        <c:axId val="1069920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9959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[reading-analytics-dashboard.xlsx]Pivot_Tables!PivotTable3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Highest</a:t>
            </a:r>
            <a:r>
              <a:rPr lang="en-US" baseline="0"/>
              <a:t> Rating Genres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Pivot_Tables!$A$11:$A$17</c:f>
              <c:strCache>
                <c:ptCount val="7"/>
                <c:pt idx="0">
                  <c:v>Fantasy</c:v>
                </c:pt>
                <c:pt idx="1">
                  <c:v>Fiction</c:v>
                </c:pt>
                <c:pt idx="2">
                  <c:v>Literary Fiction</c:v>
                </c:pt>
                <c:pt idx="3">
                  <c:v>Nonfiction</c:v>
                </c:pt>
                <c:pt idx="4">
                  <c:v>Romance</c:v>
                </c:pt>
                <c:pt idx="5">
                  <c:v>Science Fiction</c:v>
                </c:pt>
                <c:pt idx="6">
                  <c:v>Young Adult</c:v>
                </c:pt>
              </c:strCache>
            </c:strRef>
          </c:cat>
          <c:val>
            <c:numRef>
              <c:f>Pivot_Tables!$B$11:$B$17</c:f>
              <c:numCache>
                <c:formatCode>General</c:formatCode>
                <c:ptCount val="7"/>
                <c:pt idx="0">
                  <c:v>4.0149999999999997</c:v>
                </c:pt>
                <c:pt idx="1">
                  <c:v>4.2200000000000006</c:v>
                </c:pt>
                <c:pt idx="2">
                  <c:v>4</c:v>
                </c:pt>
                <c:pt idx="3">
                  <c:v>2.5</c:v>
                </c:pt>
                <c:pt idx="4">
                  <c:v>3.6</c:v>
                </c:pt>
                <c:pt idx="5">
                  <c:v>4</c:v>
                </c:pt>
                <c:pt idx="6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0A-A645-B6A7-10265325C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1347680"/>
        <c:axId val="891349392"/>
      </c:barChart>
      <c:catAx>
        <c:axId val="891347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349392"/>
        <c:crosses val="autoZero"/>
        <c:auto val="1"/>
        <c:lblAlgn val="ctr"/>
        <c:lblOffset val="100"/>
        <c:noMultiLvlLbl val="0"/>
      </c:catAx>
      <c:valAx>
        <c:axId val="891349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347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[reading-analytics-dashboard.xlsx]Pivot_Tables!PivotTable4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Books</a:t>
            </a:r>
            <a:r>
              <a:rPr lang="en-US" baseline="0"/>
              <a:t> Finished by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Pivot_Tables!$B$19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Pivot_Tables!$A$20:$A$30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Nov</c:v>
                </c:pt>
                <c:pt idx="10">
                  <c:v>Dec</c:v>
                </c:pt>
              </c:strCache>
            </c:strRef>
          </c:cat>
          <c:val>
            <c:numRef>
              <c:f>Pivot_Tables!$B$20:$B$30</c:f>
              <c:numCache>
                <c:formatCode>General</c:formatCode>
                <c:ptCount val="11"/>
                <c:pt idx="0">
                  <c:v>2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6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2</c:v>
                </c:pt>
                <c:pt idx="1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22-3043-9401-16A1AE22E2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2800848"/>
        <c:axId val="892802560"/>
      </c:lineChart>
      <c:catAx>
        <c:axId val="892800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802560"/>
        <c:crosses val="autoZero"/>
        <c:auto val="1"/>
        <c:lblAlgn val="ctr"/>
        <c:lblOffset val="100"/>
        <c:noMultiLvlLbl val="0"/>
      </c:catAx>
      <c:valAx>
        <c:axId val="892802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800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[reading-analytics-dashboard.xlsx]Pivot_Tables!PivotTable7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Reading Days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Pivot_Tables!$B$32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Pivot_Tables!$A$33:$A$39</c:f>
              <c:strCache>
                <c:ptCount val="7"/>
                <c:pt idx="0">
                  <c:v>Fantasy</c:v>
                </c:pt>
                <c:pt idx="1">
                  <c:v>Fiction</c:v>
                </c:pt>
                <c:pt idx="2">
                  <c:v>Literary Fiction</c:v>
                </c:pt>
                <c:pt idx="3">
                  <c:v>Nonfiction</c:v>
                </c:pt>
                <c:pt idx="4">
                  <c:v>Romance</c:v>
                </c:pt>
                <c:pt idx="5">
                  <c:v>Science Fiction</c:v>
                </c:pt>
                <c:pt idx="6">
                  <c:v>Young Adult</c:v>
                </c:pt>
              </c:strCache>
            </c:strRef>
          </c:cat>
          <c:val>
            <c:numRef>
              <c:f>Pivot_Tables!$B$33:$B$39</c:f>
              <c:numCache>
                <c:formatCode>General</c:formatCode>
                <c:ptCount val="7"/>
                <c:pt idx="0">
                  <c:v>10.80952380952381</c:v>
                </c:pt>
                <c:pt idx="1">
                  <c:v>13.4</c:v>
                </c:pt>
                <c:pt idx="2">
                  <c:v>14</c:v>
                </c:pt>
                <c:pt idx="3">
                  <c:v>69</c:v>
                </c:pt>
                <c:pt idx="4">
                  <c:v>10</c:v>
                </c:pt>
                <c:pt idx="5">
                  <c:v>29</c:v>
                </c:pt>
                <c:pt idx="6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8B-8840-BA42-756781F15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39458496"/>
        <c:axId val="939460208"/>
      </c:barChart>
      <c:catAx>
        <c:axId val="939458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460208"/>
        <c:crosses val="autoZero"/>
        <c:auto val="1"/>
        <c:lblAlgn val="ctr"/>
        <c:lblOffset val="100"/>
        <c:noMultiLvlLbl val="0"/>
      </c:catAx>
      <c:valAx>
        <c:axId val="939460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458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[reading-analytics-dashboard.xlsx]Pivot_Tables!PivotTable8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</a:t>
            </a:r>
            <a:r>
              <a:rPr lang="en-US" baseline="0"/>
              <a:t> Read Authors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Pivot_Tables!$B$41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Pivot_Tables!$A$42:$A$46</c:f>
              <c:strCache>
                <c:ptCount val="5"/>
                <c:pt idx="0">
                  <c:v>Sarah J. Mass</c:v>
                </c:pt>
                <c:pt idx="1">
                  <c:v>Sally Rooney</c:v>
                </c:pt>
                <c:pt idx="2">
                  <c:v>Rebecca Yarros</c:v>
                </c:pt>
                <c:pt idx="3">
                  <c:v>Hanya Yanagihara</c:v>
                </c:pt>
                <c:pt idx="4">
                  <c:v>Joan Didion</c:v>
                </c:pt>
              </c:strCache>
            </c:strRef>
          </c:cat>
          <c:val>
            <c:numRef>
              <c:f>Pivot_Tables!$B$42:$B$46</c:f>
              <c:numCache>
                <c:formatCode>General</c:formatCode>
                <c:ptCount val="5"/>
                <c:pt idx="0">
                  <c:v>16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A6-914B-A5A0-6E0109C3A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6317535"/>
        <c:axId val="1006300911"/>
      </c:barChart>
      <c:catAx>
        <c:axId val="1006317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300911"/>
        <c:crosses val="autoZero"/>
        <c:auto val="1"/>
        <c:lblAlgn val="ctr"/>
        <c:lblOffset val="100"/>
        <c:noMultiLvlLbl val="0"/>
      </c:catAx>
      <c:valAx>
        <c:axId val="1006300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6317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>
          <a:lumMod val="50000"/>
          <a:lumOff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95250</xdr:rowOff>
    </xdr:from>
    <xdr:to>
      <xdr:col>7</xdr:col>
      <xdr:colOff>774700</xdr:colOff>
      <xdr:row>20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382940-EC68-F94E-6865-B8F0B90F99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50800</xdr:colOff>
      <xdr:row>20</xdr:row>
      <xdr:rowOff>184150</xdr:rowOff>
    </xdr:from>
    <xdr:to>
      <xdr:col>16</xdr:col>
      <xdr:colOff>330200</xdr:colOff>
      <xdr:row>34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172701-A9FF-A2D5-5BA5-06F843ECA5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184150</xdr:rowOff>
    </xdr:from>
    <xdr:to>
      <xdr:col>7</xdr:col>
      <xdr:colOff>774700</xdr:colOff>
      <xdr:row>34</xdr:row>
      <xdr:rowOff>12700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D1949E-0B39-4E3F-3600-DB0F5AF861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50800</xdr:colOff>
      <xdr:row>7</xdr:row>
      <xdr:rowOff>95250</xdr:rowOff>
    </xdr:from>
    <xdr:to>
      <xdr:col>16</xdr:col>
      <xdr:colOff>330200</xdr:colOff>
      <xdr:row>20</xdr:row>
      <xdr:rowOff>127000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B8E5649-DB34-61C4-D58F-F8C32CBCE0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34</xdr:row>
      <xdr:rowOff>82550</xdr:rowOff>
    </xdr:from>
    <xdr:to>
      <xdr:col>7</xdr:col>
      <xdr:colOff>774700</xdr:colOff>
      <xdr:row>47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590F8FB-95BA-43D9-28A2-FC84203C23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Martin" refreshedDate="46169.674722569442" createdVersion="8" refreshedVersion="8" minRefreshableVersion="3" recordCount="42" xr:uid="{4D094117-25FB-714C-9B20-9EB25BE9BC85}">
  <cacheSource type="worksheet">
    <worksheetSource name="Table1"/>
  </cacheSource>
  <cacheFields count="12">
    <cacheField name="Book_Title" numFmtId="0">
      <sharedItems/>
    </cacheField>
    <cacheField name="Author" numFmtId="0">
      <sharedItems count="22">
        <s v="Rebecca Yarros"/>
        <s v="Sally Rooney"/>
        <s v="Adam Silvera"/>
        <s v="Matt Haig"/>
        <s v="Ernest Cline"/>
        <s v="Chelsea Fagan"/>
        <s v="Donna Tartt"/>
        <s v="Emily Henry"/>
        <s v="Joan Didion"/>
        <s v="Gabrielle Zevin"/>
        <s v="Hanya Yanagihara"/>
        <s v="Coco Mellors"/>
        <s v="Edward Ashton"/>
        <s v="Sarah J. Mass"/>
        <s v="Chelsea G. Summers"/>
        <s v="Albert Camus"/>
        <s v="Ocean Vuong"/>
        <s v="M.L. Rio"/>
        <s v="Stephen Chbosky"/>
        <s v="Aldous Huxley"/>
        <s v="Kaylie Smith"/>
        <s v="Donna Tart" u="1"/>
      </sharedItems>
    </cacheField>
    <cacheField name="Genre" numFmtId="0">
      <sharedItems count="7">
        <s v="Fantasy"/>
        <s v="Fiction"/>
        <s v="Young Adult"/>
        <s v="Science Fiction"/>
        <s v="Romance"/>
        <s v="Literary Fiction"/>
        <s v="Nonfiction"/>
      </sharedItems>
    </cacheField>
    <cacheField name="Pages" numFmtId="0">
      <sharedItems containsSemiMixedTypes="0" containsString="0" containsNumber="1" containsInteger="1" minValue="123" maxValue="984"/>
    </cacheField>
    <cacheField name="Rating" numFmtId="0">
      <sharedItems containsString="0" containsBlank="1" containsNumber="1" minValue="2.5" maxValue="5"/>
    </cacheField>
    <cacheField name="Start_Date" numFmtId="166">
      <sharedItems containsSemiMixedTypes="0" containsNonDate="0" containsDate="1" containsString="0" minDate="2024-01-05T00:00:00" maxDate="2026-05-23T00:00:00"/>
    </cacheField>
    <cacheField name="Finish_Date" numFmtId="166">
      <sharedItems containsSemiMixedTypes="0" containsNonDate="0" containsDate="1" containsString="0" minDate="2024-01-26T00:00:00" maxDate="2026-05-28T00:00:00"/>
    </cacheField>
    <cacheField name="Format" numFmtId="0">
      <sharedItems/>
    </cacheField>
    <cacheField name="Language" numFmtId="0">
      <sharedItems/>
    </cacheField>
    <cacheField name="Reading_Days" numFmtId="0">
      <sharedItems containsSemiMixedTypes="0" containsString="0" containsNumber="1" containsInteger="1" minValue="0" maxValue="69"/>
    </cacheField>
    <cacheField name="Finish_Month" numFmtId="0">
      <sharedItems count="11">
        <s v="Jan"/>
        <s v="Feb"/>
        <s v="Mar"/>
        <s v="Apr"/>
        <s v="May"/>
        <s v="Jun"/>
        <s v="Jul"/>
        <s v="Aug"/>
        <s v="Sep"/>
        <s v="Nov"/>
        <s v="Dec"/>
      </sharedItems>
    </cacheField>
    <cacheField name="Year" numFmtId="0">
      <sharedItems containsSemiMixedTypes="0" containsString="0" containsNumber="1" containsInteger="1" minValue="2024" maxValue="20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s v="Fourth Wing"/>
    <x v="0"/>
    <x v="0"/>
    <n v="517"/>
    <n v="5"/>
    <d v="2024-01-05T00:00:00"/>
    <d v="2024-01-26T00:00:00"/>
    <s v="Hardcover"/>
    <s v="English"/>
    <n v="21"/>
    <x v="0"/>
    <n v="2024"/>
  </r>
  <r>
    <s v="Normal People"/>
    <x v="1"/>
    <x v="1"/>
    <n v="273"/>
    <n v="5"/>
    <d v="2024-01-30T00:00:00"/>
    <d v="2024-02-02T00:00:00"/>
    <s v="Hardcover"/>
    <s v="English"/>
    <n v="3"/>
    <x v="1"/>
    <n v="2024"/>
  </r>
  <r>
    <s v="They Both Die at the End"/>
    <x v="2"/>
    <x v="2"/>
    <n v="373"/>
    <n v="3.5"/>
    <d v="2024-02-07T00:00:00"/>
    <d v="2024-02-14T00:00:00"/>
    <s v="Hardcover"/>
    <s v="English"/>
    <n v="7"/>
    <x v="1"/>
    <n v="2024"/>
  </r>
  <r>
    <s v="The Midnight Library"/>
    <x v="3"/>
    <x v="0"/>
    <n v="288"/>
    <n v="3.8"/>
    <d v="2024-02-14T00:00:00"/>
    <d v="2024-02-27T00:00:00"/>
    <s v="Hardcover"/>
    <s v="English"/>
    <n v="13"/>
    <x v="1"/>
    <n v="2024"/>
  </r>
  <r>
    <s v="Iron Flame"/>
    <x v="0"/>
    <x v="0"/>
    <n v="623"/>
    <n v="4.3"/>
    <d v="2024-03-02T00:00:00"/>
    <d v="2024-03-29T00:00:00"/>
    <s v="Hardcover"/>
    <s v="English"/>
    <n v="27"/>
    <x v="2"/>
    <n v="2024"/>
  </r>
  <r>
    <s v="Ready Player One"/>
    <x v="4"/>
    <x v="3"/>
    <n v="374"/>
    <n v="4"/>
    <d v="2024-03-30T00:00:00"/>
    <d v="2024-04-28T00:00:00"/>
    <s v="Hardcover"/>
    <s v="English"/>
    <n v="29"/>
    <x v="3"/>
    <n v="2024"/>
  </r>
  <r>
    <s v="A Perfect Vintage"/>
    <x v="5"/>
    <x v="4"/>
    <n v="382"/>
    <n v="3.7"/>
    <d v="2024-04-20T00:00:00"/>
    <d v="2024-05-04T00:00:00"/>
    <s v="Hardcover"/>
    <s v="English"/>
    <n v="14"/>
    <x v="4"/>
    <n v="2024"/>
  </r>
  <r>
    <s v="The Secret History"/>
    <x v="6"/>
    <x v="1"/>
    <n v="559"/>
    <n v="5"/>
    <d v="2024-05-17T00:00:00"/>
    <d v="2024-06-07T00:00:00"/>
    <s v="Hardcover"/>
    <s v="English"/>
    <n v="21"/>
    <x v="5"/>
    <n v="2024"/>
  </r>
  <r>
    <s v="Funny Story"/>
    <x v="7"/>
    <x v="4"/>
    <n v="387"/>
    <n v="3.5"/>
    <d v="2024-07-09T00:00:00"/>
    <d v="2024-07-15T00:00:00"/>
    <s v="Hardcover"/>
    <s v="English"/>
    <n v="6"/>
    <x v="6"/>
    <n v="2024"/>
  </r>
  <r>
    <s v="Play It as It Lays"/>
    <x v="8"/>
    <x v="5"/>
    <n v="240"/>
    <n v="4"/>
    <d v="2024-07-18T00:00:00"/>
    <d v="2024-08-01T00:00:00"/>
    <s v="Hardcover"/>
    <s v="English"/>
    <n v="14"/>
    <x v="7"/>
    <n v="2024"/>
  </r>
  <r>
    <s v="Tomorrow, and Tomorrow, and Tomorrow"/>
    <x v="9"/>
    <x v="1"/>
    <n v="401"/>
    <n v="4.2"/>
    <d v="2024-08-02T00:00:00"/>
    <d v="2024-08-12T00:00:00"/>
    <s v="Hardcover"/>
    <s v="English"/>
    <n v="10"/>
    <x v="7"/>
    <n v="2024"/>
  </r>
  <r>
    <s v="Conversations with Friends"/>
    <x v="1"/>
    <x v="1"/>
    <n v="323"/>
    <n v="3.4"/>
    <d v="2024-08-11T00:00:00"/>
    <d v="2024-08-16T00:00:00"/>
    <s v="Hardcover"/>
    <s v="English"/>
    <n v="5"/>
    <x v="7"/>
    <n v="2024"/>
  </r>
  <r>
    <s v="A little Life"/>
    <x v="10"/>
    <x v="1"/>
    <n v="816"/>
    <n v="5"/>
    <d v="2024-08-19T00:00:00"/>
    <d v="2024-09-05T00:00:00"/>
    <s v="Hardcover"/>
    <s v="English"/>
    <n v="17"/>
    <x v="8"/>
    <n v="2024"/>
  </r>
  <r>
    <s v="Cleopatra and Frankenstein"/>
    <x v="11"/>
    <x v="1"/>
    <n v="370"/>
    <n v="3.3"/>
    <d v="2024-09-08T00:00:00"/>
    <d v="2024-09-18T00:00:00"/>
    <s v="Hardcover"/>
    <s v="English"/>
    <n v="10"/>
    <x v="8"/>
    <n v="2024"/>
  </r>
  <r>
    <s v="Mickey 7"/>
    <x v="12"/>
    <x v="1"/>
    <n v="296"/>
    <n v="4"/>
    <d v="2024-09-20T00:00:00"/>
    <d v="2024-11-15T00:00:00"/>
    <s v="Hardcover"/>
    <s v="English"/>
    <n v="56"/>
    <x v="9"/>
    <n v="2024"/>
  </r>
  <r>
    <s v="Intermezzo"/>
    <x v="1"/>
    <x v="1"/>
    <n v="442"/>
    <n v="4"/>
    <d v="2024-11-30T00:00:00"/>
    <d v="2024-12-30T00:00:00"/>
    <s v="Hardcover"/>
    <s v="English"/>
    <n v="30"/>
    <x v="10"/>
    <n v="2024"/>
  </r>
  <r>
    <s v="Una Corte de Rosas Y Espinas"/>
    <x v="13"/>
    <x v="0"/>
    <n v="456"/>
    <n v="4.2"/>
    <d v="2025-01-03T00:00:00"/>
    <d v="2025-02-06T00:00:00"/>
    <s v="Hardcover"/>
    <s v="Spanish"/>
    <n v="34"/>
    <x v="1"/>
    <n v="2025"/>
  </r>
  <r>
    <s v="Onyx Storm"/>
    <x v="0"/>
    <x v="0"/>
    <n v="527"/>
    <n v="4"/>
    <d v="2025-02-06T00:00:00"/>
    <d v="2025-03-18T00:00:00"/>
    <s v="Hardcover"/>
    <s v="English"/>
    <n v="40"/>
    <x v="2"/>
    <n v="2025"/>
  </r>
  <r>
    <s v="A Court of Mist and Fury"/>
    <x v="13"/>
    <x v="0"/>
    <n v="626"/>
    <n v="4.3"/>
    <d v="2025-04-17T00:00:00"/>
    <d v="2025-04-18T00:00:00"/>
    <s v="Hardcover"/>
    <s v="English"/>
    <n v="1"/>
    <x v="3"/>
    <n v="2025"/>
  </r>
  <r>
    <s v="A Court of Wings and Ruin"/>
    <x v="13"/>
    <x v="0"/>
    <n v="705"/>
    <n v="4.5"/>
    <d v="2025-05-01T00:00:00"/>
    <d v="2025-05-01T00:00:00"/>
    <s v="Hardcover"/>
    <s v="English"/>
    <n v="0"/>
    <x v="4"/>
    <n v="2025"/>
  </r>
  <r>
    <s v="A Court of Frost and Starlight"/>
    <x v="13"/>
    <x v="0"/>
    <n v="229"/>
    <n v="3.5"/>
    <d v="2025-05-22T00:00:00"/>
    <d v="2025-05-22T00:00:00"/>
    <s v="Hardcover"/>
    <s v="English"/>
    <n v="0"/>
    <x v="4"/>
    <n v="2025"/>
  </r>
  <r>
    <s v="A Court of Silver Flames"/>
    <x v="13"/>
    <x v="0"/>
    <n v="751"/>
    <n v="3.8"/>
    <d v="2025-05-22T00:00:00"/>
    <d v="2025-05-27T00:00:00"/>
    <s v="Hardcover"/>
    <s v="English"/>
    <n v="5"/>
    <x v="4"/>
    <n v="2025"/>
  </r>
  <r>
    <s v="A Certain Hunger"/>
    <x v="14"/>
    <x v="1"/>
    <n v="254"/>
    <n v="3.7"/>
    <d v="2025-05-28T00:00:00"/>
    <d v="2025-05-31T00:00:00"/>
    <s v="Hardcover"/>
    <s v="English"/>
    <n v="3"/>
    <x v="4"/>
    <n v="2025"/>
  </r>
  <r>
    <s v="The Assassin's Blade"/>
    <x v="13"/>
    <x v="0"/>
    <n v="435"/>
    <n v="4.5"/>
    <d v="2025-05-31T00:00:00"/>
    <d v="2025-06-05T00:00:00"/>
    <s v="Hardcover"/>
    <s v="English"/>
    <n v="5"/>
    <x v="5"/>
    <n v="2025"/>
  </r>
  <r>
    <s v="Throne of Glass"/>
    <x v="13"/>
    <x v="0"/>
    <n v="406"/>
    <n v="3.9"/>
    <d v="2025-06-10T00:00:00"/>
    <d v="2025-06-12T00:00:00"/>
    <s v="Hardcover"/>
    <s v="English"/>
    <n v="2"/>
    <x v="5"/>
    <n v="2025"/>
  </r>
  <r>
    <s v="The Stranger"/>
    <x v="15"/>
    <x v="1"/>
    <n v="123"/>
    <n v="4"/>
    <d v="2025-06-13T00:00:00"/>
    <d v="2025-06-14T00:00:00"/>
    <s v="Hardcover"/>
    <s v="English"/>
    <n v="1"/>
    <x v="5"/>
    <n v="2025"/>
  </r>
  <r>
    <s v="Crown of Midnight"/>
    <x v="13"/>
    <x v="0"/>
    <n v="420"/>
    <n v="3.6"/>
    <d v="2025-06-16T00:00:00"/>
    <d v="2025-06-23T00:00:00"/>
    <s v="Hardcover"/>
    <s v="English"/>
    <n v="7"/>
    <x v="5"/>
    <n v="2025"/>
  </r>
  <r>
    <s v="Heir of Fire"/>
    <x v="13"/>
    <x v="0"/>
    <n v="565"/>
    <n v="3.9"/>
    <d v="2025-06-29T00:00:00"/>
    <d v="2025-07-05T00:00:00"/>
    <s v="Hardcover"/>
    <s v="English"/>
    <n v="6"/>
    <x v="6"/>
    <n v="2025"/>
  </r>
  <r>
    <s v="Queen of Shadows"/>
    <x v="13"/>
    <x v="0"/>
    <n v="648"/>
    <n v="3.4"/>
    <d v="2025-07-09T00:00:00"/>
    <d v="2025-07-13T00:00:00"/>
    <s v="Hardcover"/>
    <s v="English"/>
    <n v="4"/>
    <x v="6"/>
    <n v="2025"/>
  </r>
  <r>
    <s v="Empire of Storms"/>
    <x v="13"/>
    <x v="0"/>
    <n v="693"/>
    <n v="3.8"/>
    <d v="2025-07-14T00:00:00"/>
    <d v="2025-07-27T00:00:00"/>
    <s v="Hardcover"/>
    <s v="English"/>
    <n v="13"/>
    <x v="6"/>
    <n v="2025"/>
  </r>
  <r>
    <s v="Tower of Dawn"/>
    <x v="13"/>
    <x v="0"/>
    <n v="664"/>
    <n v="3.8"/>
    <d v="2025-07-14T00:00:00"/>
    <d v="2025-07-28T00:00:00"/>
    <s v="Hardcover"/>
    <s v="English"/>
    <n v="14"/>
    <x v="6"/>
    <n v="2025"/>
  </r>
  <r>
    <s v="Kingdom of Ash"/>
    <x v="13"/>
    <x v="0"/>
    <n v="984"/>
    <n v="3.5"/>
    <d v="2025-07-30T00:00:00"/>
    <d v="2025-08-14T00:00:00"/>
    <s v="Hardcover"/>
    <s v="English"/>
    <n v="15"/>
    <x v="7"/>
    <n v="2025"/>
  </r>
  <r>
    <s v="On Earth We're Briefly Gorgeous"/>
    <x v="16"/>
    <x v="1"/>
    <n v="246"/>
    <n v="3.5"/>
    <d v="2025-08-14T00:00:00"/>
    <d v="2025-09-04T00:00:00"/>
    <s v="Hardcover"/>
    <s v="English"/>
    <n v="21"/>
    <x v="8"/>
    <n v="2025"/>
  </r>
  <r>
    <s v="If We Were Villains"/>
    <x v="17"/>
    <x v="1"/>
    <n v="358"/>
    <n v="5"/>
    <d v="2025-09-08T00:00:00"/>
    <d v="2025-09-14T00:00:00"/>
    <s v="Hardcover"/>
    <s v="English"/>
    <n v="6"/>
    <x v="8"/>
    <n v="2025"/>
  </r>
  <r>
    <s v="House of Earth and Blood"/>
    <x v="13"/>
    <x v="0"/>
    <n v="803"/>
    <n v="4"/>
    <d v="2025-11-13T00:00:00"/>
    <d v="2025-11-19T00:00:00"/>
    <s v="Hardcover"/>
    <s v="English"/>
    <n v="6"/>
    <x v="9"/>
    <n v="2025"/>
  </r>
  <r>
    <s v="House of Sky and Breath"/>
    <x v="13"/>
    <x v="0"/>
    <n v="805"/>
    <n v="4.0999999999999996"/>
    <d v="2025-11-26T00:00:00"/>
    <d v="2025-12-01T00:00:00"/>
    <s v="Hardcover"/>
    <s v="English"/>
    <n v="5"/>
    <x v="10"/>
    <n v="2025"/>
  </r>
  <r>
    <s v="The Perks of Being a Wallflower"/>
    <x v="18"/>
    <x v="1"/>
    <n v="232"/>
    <n v="5"/>
    <d v="2025-12-03T00:00:00"/>
    <d v="2025-12-04T00:00:00"/>
    <s v="Hardcover"/>
    <s v="English"/>
    <n v="1"/>
    <x v="10"/>
    <n v="2025"/>
  </r>
  <r>
    <s v="House of Flame and Shadow"/>
    <x v="13"/>
    <x v="0"/>
    <n v="951"/>
    <n v="4.4000000000000004"/>
    <d v="2025-12-06T00:00:00"/>
    <d v="2025-12-10T00:00:00"/>
    <s v="Hardcover"/>
    <s v="English"/>
    <n v="4"/>
    <x v="10"/>
    <n v="2025"/>
  </r>
  <r>
    <s v="Brave New World"/>
    <x v="19"/>
    <x v="1"/>
    <n v="268"/>
    <n v="3.2"/>
    <d v="2025-12-25T00:00:00"/>
    <d v="2025-12-31T00:00:00"/>
    <s v="Hardcover"/>
    <s v="English"/>
    <n v="6"/>
    <x v="10"/>
    <n v="2025"/>
  </r>
  <r>
    <s v="A little Life"/>
    <x v="10"/>
    <x v="1"/>
    <n v="816"/>
    <n v="5"/>
    <d v="2026-01-02T00:00:00"/>
    <d v="2026-01-13T00:00:00"/>
    <s v="Hardcover"/>
    <s v="English"/>
    <n v="11"/>
    <x v="0"/>
    <n v="2026"/>
  </r>
  <r>
    <s v="Slouching Towards Bethlehem"/>
    <x v="8"/>
    <x v="6"/>
    <n v="239"/>
    <n v="2.5"/>
    <d v="2026-01-14T00:00:00"/>
    <d v="2026-03-24T00:00:00"/>
    <s v="Hardcover"/>
    <s v="English"/>
    <n v="69"/>
    <x v="2"/>
    <n v="2026"/>
  </r>
  <r>
    <s v="Phantasma"/>
    <x v="20"/>
    <x v="0"/>
    <n v="497"/>
    <m/>
    <d v="2026-05-22T00:00:00"/>
    <d v="2026-05-27T00:00:00"/>
    <s v="Hardcover"/>
    <s v="English"/>
    <n v="5"/>
    <x v="4"/>
    <n v="20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51F53D-D77D-464F-AD6B-DFE921C9AC40}" name="PivotTable8" cacheId="2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 rowHeaderCaption="Author">
  <location ref="A41:B46" firstHeaderRow="1" firstDataRow="1" firstDataCol="1"/>
  <pivotFields count="12">
    <pivotField dataField="1" showAll="0"/>
    <pivotField axis="axisRow" showAll="0" measureFilter="1" sortType="descending">
      <items count="23">
        <item x="18"/>
        <item x="13"/>
        <item x="1"/>
        <item x="0"/>
        <item x="16"/>
        <item x="3"/>
        <item x="17"/>
        <item x="20"/>
        <item x="8"/>
        <item x="10"/>
        <item x="9"/>
        <item x="4"/>
        <item x="7"/>
        <item x="12"/>
        <item m="1" x="21"/>
        <item x="11"/>
        <item x="14"/>
        <item x="5"/>
        <item x="19"/>
        <item x="15"/>
        <item x="2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numFmtId="166" showAll="0"/>
    <pivotField numFmtId="166" showAll="0"/>
    <pivotField showAll="0"/>
    <pivotField showAll="0"/>
    <pivotField showAll="0"/>
    <pivotField showAll="0"/>
    <pivotField showAll="0"/>
  </pivotFields>
  <rowFields count="1">
    <field x="1"/>
  </rowFields>
  <rowItems count="5">
    <i>
      <x v="1"/>
    </i>
    <i>
      <x v="2"/>
    </i>
    <i>
      <x v="3"/>
    </i>
    <i>
      <x v="9"/>
    </i>
    <i>
      <x v="8"/>
    </i>
  </rowItems>
  <colItems count="1">
    <i/>
  </colItems>
  <dataFields count="1">
    <dataField name="Books Rea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valueGreaterThan" evalOrder="-1" id="1" iMeasureFld="0">
      <autoFilter ref="A1">
        <filterColumn colId="0">
          <customFilters>
            <customFilter operator="greaterThan" val="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F22DB-F23B-7C48-BEF0-03A456293C83}" name="PivotTable7" cacheId="2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" rowHeaderCaption="Genres">
  <location ref="A32:B39" firstHeaderRow="1" firstDataRow="1" firstDataCol="1"/>
  <pivotFields count="12">
    <pivotField showAll="0"/>
    <pivotField showAll="0"/>
    <pivotField axis="axisRow" showAll="0">
      <items count="8">
        <item x="0"/>
        <item x="1"/>
        <item x="5"/>
        <item x="6"/>
        <item x="4"/>
        <item x="3"/>
        <item x="2"/>
        <item t="default"/>
      </items>
    </pivotField>
    <pivotField showAll="0"/>
    <pivotField showAll="0"/>
    <pivotField numFmtId="166" showAll="0"/>
    <pivotField showAll="0"/>
    <pivotField showAll="0"/>
    <pivotField showAll="0"/>
    <pivotField dataField="1"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Average Reading Days" fld="9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EDCE97-04FB-CF47-8A25-C2DEEAA0D2A1}" name="PivotTable4" cacheId="2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 rowHeaderCaption="Month ">
  <location ref="A19:B30" firstHeaderRow="1" firstDataRow="1" firstDataCol="1"/>
  <pivotFields count="12">
    <pivotField dataField="1" showAll="0"/>
    <pivotField showAll="0"/>
    <pivotField showAll="0"/>
    <pivotField showAll="0"/>
    <pivotField showAll="0"/>
    <pivotField numFmtId="166" showAll="0"/>
    <pivotField showAll="0"/>
    <pivotField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</pivotFields>
  <rowFields count="1">
    <field x="1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Items count="1">
    <i/>
  </colItems>
  <dataFields count="1">
    <dataField name="Books Finishe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7FBA6-28E7-0B4A-B8A7-5FD9E8186662}" name="PivotTable3" cacheId="2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 rowHeaderCaption="Genre">
  <location ref="A10:B17" firstHeaderRow="1" firstDataRow="1" firstDataCol="1"/>
  <pivotFields count="12">
    <pivotField showAll="0"/>
    <pivotField showAll="0"/>
    <pivotField axis="axisRow" showAll="0">
      <items count="8">
        <item x="0"/>
        <item x="1"/>
        <item x="5"/>
        <item x="6"/>
        <item x="4"/>
        <item x="3"/>
        <item x="2"/>
        <item t="default"/>
      </items>
    </pivotField>
    <pivotField showAll="0"/>
    <pivotField dataField="1" showAll="0"/>
    <pivotField numFmtId="166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Average Rating" fld="4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4801AA-DBC1-734E-83F3-8B6B79664987}" name="PivotTable2" cacheId="2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5" rowHeaderCaption="Genre">
  <location ref="A1:B8" firstHeaderRow="1" firstDataRow="1" firstDataCol="1"/>
  <pivotFields count="12">
    <pivotField dataField="1" showAll="0"/>
    <pivotField showAll="0"/>
    <pivotField axis="axisRow" showAll="0" sortType="descending">
      <items count="8">
        <item x="0"/>
        <item x="1"/>
        <item x="5"/>
        <item x="6"/>
        <item x="4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166"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">
    <i>
      <x/>
    </i>
    <i>
      <x v="1"/>
    </i>
    <i>
      <x v="4"/>
    </i>
    <i>
      <x v="5"/>
    </i>
    <i>
      <x v="6"/>
    </i>
    <i>
      <x v="2"/>
    </i>
    <i>
      <x v="3"/>
    </i>
  </rowItems>
  <colItems count="1">
    <i/>
  </colItems>
  <dataFields count="1">
    <dataField name="Books Rea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EF5A66-77BD-C745-9297-E5B5A5ADB918}" name="Table1" displayName="Table1" ref="A1:L43" totalsRowShown="0" headerRowDxfId="3">
  <autoFilter ref="A1:L43" xr:uid="{5EEF5A66-77BD-C745-9297-E5B5A5ADB918}"/>
  <tableColumns count="12">
    <tableColumn id="1" xr3:uid="{3BBFBAC4-5F22-1A41-BD58-F35E0A4226E4}" name="Book_Title"/>
    <tableColumn id="2" xr3:uid="{14B57B21-4848-094C-BE88-5625B81535B7}" name="Author"/>
    <tableColumn id="3" xr3:uid="{6192E656-486A-0747-8C8F-0CBEECFCD7DE}" name="Genre"/>
    <tableColumn id="4" xr3:uid="{9760D5EF-F3ED-B04A-8944-8A4FBC5E0848}" name="Pages"/>
    <tableColumn id="5" xr3:uid="{B0A9E488-C9AD-4E4C-8767-80F7C519D568}" name="Rating"/>
    <tableColumn id="6" xr3:uid="{C0A70467-9EE2-6841-A766-997286218257}" name="Start_Date" dataDxfId="5"/>
    <tableColumn id="7" xr3:uid="{5C507B03-C289-DC48-9E25-936168CE807E}" name="Finish_Date" dataDxfId="4"/>
    <tableColumn id="8" xr3:uid="{A8B91C6E-E3F6-1746-A94E-FB19C1C3A704}" name="Format"/>
    <tableColumn id="9" xr3:uid="{3C2A83AC-7476-E946-8167-A476120F7920}" name="Language"/>
    <tableColumn id="10" xr3:uid="{5B8E17B9-30C2-0645-AD59-3247EC8F5C30}" name="Reading_Days" dataDxfId="2">
      <calculatedColumnFormula>Table1[[#This Row],[Finish_Date]]-Table1[[#This Row],[Start_Date]]</calculatedColumnFormula>
    </tableColumn>
    <tableColumn id="11" xr3:uid="{501CC187-F0E7-8C46-9CC4-2DFAE7B09209}" name="Finish_Month" dataDxfId="1">
      <calculatedColumnFormula>TEXT(Table1[[#This Row],[Finish_Date]],"mmm")</calculatedColumnFormula>
    </tableColumn>
    <tableColumn id="12" xr3:uid="{96B07721-1781-8F4F-8E7B-3658DA95A852}" name="Year" dataDxfId="0">
      <calculatedColumnFormula>YEAR(Table1[[#This Row],[Finish_Date]])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E4E3A-B704-7748-A97C-E6B87E77BEAD}">
  <dimension ref="A1:L43"/>
  <sheetViews>
    <sheetView tabSelected="1" workbookViewId="0">
      <selection activeCell="C45" sqref="C45"/>
    </sheetView>
  </sheetViews>
  <sheetFormatPr baseColWidth="10" defaultRowHeight="16" x14ac:dyDescent="0.2"/>
  <cols>
    <col min="1" max="1" width="34.1640625" bestFit="1" customWidth="1"/>
    <col min="2" max="2" width="18" bestFit="1" customWidth="1"/>
    <col min="3" max="3" width="14" bestFit="1" customWidth="1"/>
    <col min="4" max="4" width="13.83203125" bestFit="1" customWidth="1"/>
    <col min="5" max="5" width="14.33203125" bestFit="1" customWidth="1"/>
    <col min="6" max="6" width="19.6640625" bestFit="1" customWidth="1"/>
    <col min="7" max="7" width="21" bestFit="1" customWidth="1"/>
    <col min="8" max="8" width="15.5" bestFit="1" customWidth="1"/>
    <col min="9" max="9" width="18" bestFit="1" customWidth="1"/>
    <col min="10" max="10" width="23.83203125" bestFit="1" customWidth="1"/>
    <col min="11" max="11" width="23" bestFit="1" customWidth="1"/>
    <col min="12" max="12" width="12" bestFit="1" customWidth="1"/>
  </cols>
  <sheetData>
    <row r="1" spans="1:12" ht="2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80</v>
      </c>
      <c r="K1" s="2" t="s">
        <v>81</v>
      </c>
      <c r="L1" s="2" t="s">
        <v>82</v>
      </c>
    </row>
    <row r="2" spans="1:12" x14ac:dyDescent="0.2">
      <c r="A2" t="s">
        <v>9</v>
      </c>
      <c r="B2" t="s">
        <v>10</v>
      </c>
      <c r="C2" t="s">
        <v>14</v>
      </c>
      <c r="D2">
        <v>517</v>
      </c>
      <c r="E2">
        <v>5</v>
      </c>
      <c r="F2" s="1">
        <v>45296</v>
      </c>
      <c r="G2" s="1">
        <v>45317</v>
      </c>
      <c r="H2" t="s">
        <v>21</v>
      </c>
      <c r="I2" t="s">
        <v>11</v>
      </c>
      <c r="J2">
        <f>Table1[[#This Row],[Finish_Date]]-Table1[[#This Row],[Start_Date]]</f>
        <v>21</v>
      </c>
      <c r="K2" s="3" t="str">
        <f>TEXT(Table1[[#This Row],[Finish_Date]],"mmm")</f>
        <v>Jan</v>
      </c>
      <c r="L2" s="3">
        <f>YEAR(Table1[[#This Row],[Finish_Date]])</f>
        <v>2024</v>
      </c>
    </row>
    <row r="3" spans="1:12" x14ac:dyDescent="0.2">
      <c r="A3" t="s">
        <v>12</v>
      </c>
      <c r="B3" t="s">
        <v>13</v>
      </c>
      <c r="C3" t="s">
        <v>15</v>
      </c>
      <c r="D3">
        <v>273</v>
      </c>
      <c r="E3">
        <v>5</v>
      </c>
      <c r="F3" s="1">
        <v>45321</v>
      </c>
      <c r="G3" s="1">
        <v>45324</v>
      </c>
      <c r="H3" t="s">
        <v>21</v>
      </c>
      <c r="I3" t="s">
        <v>11</v>
      </c>
      <c r="J3">
        <f>Table1[[#This Row],[Finish_Date]]-Table1[[#This Row],[Start_Date]]</f>
        <v>3</v>
      </c>
      <c r="K3" s="3" t="str">
        <f>TEXT(Table1[[#This Row],[Finish_Date]],"mmm")</f>
        <v>Feb</v>
      </c>
      <c r="L3" s="3">
        <f>YEAR(Table1[[#This Row],[Finish_Date]])</f>
        <v>2024</v>
      </c>
    </row>
    <row r="4" spans="1:12" x14ac:dyDescent="0.2">
      <c r="A4" t="s">
        <v>16</v>
      </c>
      <c r="B4" t="s">
        <v>17</v>
      </c>
      <c r="C4" t="s">
        <v>18</v>
      </c>
      <c r="D4">
        <v>373</v>
      </c>
      <c r="E4">
        <v>3.5</v>
      </c>
      <c r="F4" s="1">
        <v>45329</v>
      </c>
      <c r="G4" s="1">
        <v>45336</v>
      </c>
      <c r="H4" t="s">
        <v>21</v>
      </c>
      <c r="I4" t="s">
        <v>11</v>
      </c>
      <c r="J4">
        <f>Table1[[#This Row],[Finish_Date]]-Table1[[#This Row],[Start_Date]]</f>
        <v>7</v>
      </c>
      <c r="K4" s="3" t="str">
        <f>TEXT(Table1[[#This Row],[Finish_Date]],"mmm")</f>
        <v>Feb</v>
      </c>
      <c r="L4" s="3">
        <f>YEAR(Table1[[#This Row],[Finish_Date]])</f>
        <v>2024</v>
      </c>
    </row>
    <row r="5" spans="1:12" x14ac:dyDescent="0.2">
      <c r="A5" t="s">
        <v>19</v>
      </c>
      <c r="B5" t="s">
        <v>20</v>
      </c>
      <c r="C5" t="s">
        <v>14</v>
      </c>
      <c r="D5">
        <v>288</v>
      </c>
      <c r="E5">
        <v>3.8</v>
      </c>
      <c r="F5" s="1">
        <v>45336</v>
      </c>
      <c r="G5" s="1">
        <v>45349</v>
      </c>
      <c r="H5" t="s">
        <v>21</v>
      </c>
      <c r="I5" t="s">
        <v>11</v>
      </c>
      <c r="J5">
        <f>Table1[[#This Row],[Finish_Date]]-Table1[[#This Row],[Start_Date]]</f>
        <v>13</v>
      </c>
      <c r="K5" s="3" t="str">
        <f>TEXT(Table1[[#This Row],[Finish_Date]],"mmm")</f>
        <v>Feb</v>
      </c>
      <c r="L5" s="3">
        <f>YEAR(Table1[[#This Row],[Finish_Date]])</f>
        <v>2024</v>
      </c>
    </row>
    <row r="6" spans="1:12" x14ac:dyDescent="0.2">
      <c r="A6" t="s">
        <v>22</v>
      </c>
      <c r="B6" t="s">
        <v>10</v>
      </c>
      <c r="C6" t="s">
        <v>14</v>
      </c>
      <c r="D6">
        <v>623</v>
      </c>
      <c r="E6">
        <v>4.3</v>
      </c>
      <c r="F6" s="1">
        <v>45353</v>
      </c>
      <c r="G6" s="1">
        <v>45380</v>
      </c>
      <c r="H6" t="s">
        <v>21</v>
      </c>
      <c r="I6" t="s">
        <v>11</v>
      </c>
      <c r="J6">
        <f>Table1[[#This Row],[Finish_Date]]-Table1[[#This Row],[Start_Date]]</f>
        <v>27</v>
      </c>
      <c r="K6" s="3" t="str">
        <f>TEXT(Table1[[#This Row],[Finish_Date]],"mmm")</f>
        <v>Mar</v>
      </c>
      <c r="L6" s="3">
        <f>YEAR(Table1[[#This Row],[Finish_Date]])</f>
        <v>2024</v>
      </c>
    </row>
    <row r="7" spans="1:12" x14ac:dyDescent="0.2">
      <c r="A7" t="s">
        <v>23</v>
      </c>
      <c r="B7" t="s">
        <v>24</v>
      </c>
      <c r="C7" t="s">
        <v>25</v>
      </c>
      <c r="D7">
        <v>374</v>
      </c>
      <c r="E7">
        <v>4</v>
      </c>
      <c r="F7" s="1">
        <v>45381</v>
      </c>
      <c r="G7" s="1">
        <v>45410</v>
      </c>
      <c r="H7" t="s">
        <v>21</v>
      </c>
      <c r="I7" t="s">
        <v>11</v>
      </c>
      <c r="J7">
        <f>Table1[[#This Row],[Finish_Date]]-Table1[[#This Row],[Start_Date]]</f>
        <v>29</v>
      </c>
      <c r="K7" s="3" t="str">
        <f>TEXT(Table1[[#This Row],[Finish_Date]],"mmm")</f>
        <v>Apr</v>
      </c>
      <c r="L7" s="3">
        <f>YEAR(Table1[[#This Row],[Finish_Date]])</f>
        <v>2024</v>
      </c>
    </row>
    <row r="8" spans="1:12" x14ac:dyDescent="0.2">
      <c r="A8" t="s">
        <v>26</v>
      </c>
      <c r="B8" t="s">
        <v>54</v>
      </c>
      <c r="C8" t="s">
        <v>28</v>
      </c>
      <c r="D8">
        <v>382</v>
      </c>
      <c r="E8">
        <v>3.7</v>
      </c>
      <c r="F8" s="1">
        <v>45402</v>
      </c>
      <c r="G8" s="1">
        <v>45416</v>
      </c>
      <c r="H8" t="s">
        <v>21</v>
      </c>
      <c r="I8" t="s">
        <v>11</v>
      </c>
      <c r="J8">
        <f>Table1[[#This Row],[Finish_Date]]-Table1[[#This Row],[Start_Date]]</f>
        <v>14</v>
      </c>
      <c r="K8" s="3" t="str">
        <f>TEXT(Table1[[#This Row],[Finish_Date]],"mmm")</f>
        <v>May</v>
      </c>
      <c r="L8" s="3">
        <f>YEAR(Table1[[#This Row],[Finish_Date]])</f>
        <v>2024</v>
      </c>
    </row>
    <row r="9" spans="1:12" x14ac:dyDescent="0.2">
      <c r="A9" t="s">
        <v>27</v>
      </c>
      <c r="B9" t="s">
        <v>100</v>
      </c>
      <c r="C9" t="s">
        <v>15</v>
      </c>
      <c r="D9">
        <v>559</v>
      </c>
      <c r="E9">
        <v>5</v>
      </c>
      <c r="F9" s="1">
        <v>45429</v>
      </c>
      <c r="G9" s="1">
        <v>45450</v>
      </c>
      <c r="H9" t="s">
        <v>21</v>
      </c>
      <c r="I9" t="s">
        <v>11</v>
      </c>
      <c r="J9">
        <f>Table1[[#This Row],[Finish_Date]]-Table1[[#This Row],[Start_Date]]</f>
        <v>21</v>
      </c>
      <c r="K9" s="3" t="str">
        <f>TEXT(Table1[[#This Row],[Finish_Date]],"mmm")</f>
        <v>Jun</v>
      </c>
      <c r="L9" s="3">
        <f>YEAR(Table1[[#This Row],[Finish_Date]])</f>
        <v>2024</v>
      </c>
    </row>
    <row r="10" spans="1:12" x14ac:dyDescent="0.2">
      <c r="A10" t="s">
        <v>29</v>
      </c>
      <c r="B10" t="s">
        <v>30</v>
      </c>
      <c r="C10" t="s">
        <v>28</v>
      </c>
      <c r="D10">
        <v>387</v>
      </c>
      <c r="E10">
        <v>3.5</v>
      </c>
      <c r="F10" s="1">
        <v>45482</v>
      </c>
      <c r="G10" s="1">
        <v>45488</v>
      </c>
      <c r="H10" t="s">
        <v>21</v>
      </c>
      <c r="I10" t="s">
        <v>11</v>
      </c>
      <c r="J10">
        <f>Table1[[#This Row],[Finish_Date]]-Table1[[#This Row],[Start_Date]]</f>
        <v>6</v>
      </c>
      <c r="K10" s="3" t="str">
        <f>TEXT(Table1[[#This Row],[Finish_Date]],"mmm")</f>
        <v>Jul</v>
      </c>
      <c r="L10" s="3">
        <f>YEAR(Table1[[#This Row],[Finish_Date]])</f>
        <v>2024</v>
      </c>
    </row>
    <row r="11" spans="1:12" x14ac:dyDescent="0.2">
      <c r="A11" t="s">
        <v>31</v>
      </c>
      <c r="B11" t="s">
        <v>32</v>
      </c>
      <c r="C11" t="s">
        <v>33</v>
      </c>
      <c r="D11">
        <v>240</v>
      </c>
      <c r="E11">
        <v>4</v>
      </c>
      <c r="F11" s="1">
        <v>45491</v>
      </c>
      <c r="G11" s="1">
        <v>45505</v>
      </c>
      <c r="H11" t="s">
        <v>21</v>
      </c>
      <c r="I11" t="s">
        <v>11</v>
      </c>
      <c r="J11">
        <f>Table1[[#This Row],[Finish_Date]]-Table1[[#This Row],[Start_Date]]</f>
        <v>14</v>
      </c>
      <c r="K11" s="3" t="str">
        <f>TEXT(Table1[[#This Row],[Finish_Date]],"mmm")</f>
        <v>Aug</v>
      </c>
      <c r="L11" s="3">
        <f>YEAR(Table1[[#This Row],[Finish_Date]])</f>
        <v>2024</v>
      </c>
    </row>
    <row r="12" spans="1:12" x14ac:dyDescent="0.2">
      <c r="A12" t="s">
        <v>34</v>
      </c>
      <c r="B12" t="s">
        <v>35</v>
      </c>
      <c r="C12" t="s">
        <v>15</v>
      </c>
      <c r="D12">
        <v>401</v>
      </c>
      <c r="E12">
        <v>4.2</v>
      </c>
      <c r="F12" s="1">
        <v>45506</v>
      </c>
      <c r="G12" s="1">
        <v>45516</v>
      </c>
      <c r="H12" t="s">
        <v>21</v>
      </c>
      <c r="I12" t="s">
        <v>11</v>
      </c>
      <c r="J12">
        <f>Table1[[#This Row],[Finish_Date]]-Table1[[#This Row],[Start_Date]]</f>
        <v>10</v>
      </c>
      <c r="K12" s="3" t="str">
        <f>TEXT(Table1[[#This Row],[Finish_Date]],"mmm")</f>
        <v>Aug</v>
      </c>
      <c r="L12" s="3">
        <f>YEAR(Table1[[#This Row],[Finish_Date]])</f>
        <v>2024</v>
      </c>
    </row>
    <row r="13" spans="1:12" x14ac:dyDescent="0.2">
      <c r="A13" t="s">
        <v>36</v>
      </c>
      <c r="B13" t="s">
        <v>13</v>
      </c>
      <c r="C13" t="s">
        <v>15</v>
      </c>
      <c r="D13">
        <v>323</v>
      </c>
      <c r="E13">
        <v>3.4</v>
      </c>
      <c r="F13" s="1">
        <v>45515</v>
      </c>
      <c r="G13" s="1">
        <v>45520</v>
      </c>
      <c r="H13" t="s">
        <v>21</v>
      </c>
      <c r="I13" t="s">
        <v>11</v>
      </c>
      <c r="J13">
        <f>Table1[[#This Row],[Finish_Date]]-Table1[[#This Row],[Start_Date]]</f>
        <v>5</v>
      </c>
      <c r="K13" s="3" t="str">
        <f>TEXT(Table1[[#This Row],[Finish_Date]],"mmm")</f>
        <v>Aug</v>
      </c>
      <c r="L13" s="3">
        <f>YEAR(Table1[[#This Row],[Finish_Date]])</f>
        <v>2024</v>
      </c>
    </row>
    <row r="14" spans="1:12" x14ac:dyDescent="0.2">
      <c r="A14" t="s">
        <v>37</v>
      </c>
      <c r="B14" t="s">
        <v>38</v>
      </c>
      <c r="C14" t="s">
        <v>15</v>
      </c>
      <c r="D14">
        <v>816</v>
      </c>
      <c r="E14">
        <v>5</v>
      </c>
      <c r="F14" s="1">
        <v>45523</v>
      </c>
      <c r="G14" s="1">
        <v>45540</v>
      </c>
      <c r="H14" t="s">
        <v>21</v>
      </c>
      <c r="I14" t="s">
        <v>11</v>
      </c>
      <c r="J14">
        <f>Table1[[#This Row],[Finish_Date]]-Table1[[#This Row],[Start_Date]]</f>
        <v>17</v>
      </c>
      <c r="K14" s="3" t="str">
        <f>TEXT(Table1[[#This Row],[Finish_Date]],"mmm")</f>
        <v>Sep</v>
      </c>
      <c r="L14" s="3">
        <f>YEAR(Table1[[#This Row],[Finish_Date]])</f>
        <v>2024</v>
      </c>
    </row>
    <row r="15" spans="1:12" x14ac:dyDescent="0.2">
      <c r="A15" t="s">
        <v>39</v>
      </c>
      <c r="B15" t="s">
        <v>40</v>
      </c>
      <c r="C15" t="s">
        <v>15</v>
      </c>
      <c r="D15">
        <v>370</v>
      </c>
      <c r="E15">
        <v>3.3</v>
      </c>
      <c r="F15" s="1">
        <v>45543</v>
      </c>
      <c r="G15" s="1">
        <v>45553</v>
      </c>
      <c r="H15" t="s">
        <v>21</v>
      </c>
      <c r="I15" t="s">
        <v>11</v>
      </c>
      <c r="J15">
        <f>Table1[[#This Row],[Finish_Date]]-Table1[[#This Row],[Start_Date]]</f>
        <v>10</v>
      </c>
      <c r="K15" s="3" t="str">
        <f>TEXT(Table1[[#This Row],[Finish_Date]],"mmm")</f>
        <v>Sep</v>
      </c>
      <c r="L15" s="3">
        <f>YEAR(Table1[[#This Row],[Finish_Date]])</f>
        <v>2024</v>
      </c>
    </row>
    <row r="16" spans="1:12" x14ac:dyDescent="0.2">
      <c r="A16" t="s">
        <v>41</v>
      </c>
      <c r="B16" t="s">
        <v>42</v>
      </c>
      <c r="C16" t="s">
        <v>15</v>
      </c>
      <c r="D16">
        <v>296</v>
      </c>
      <c r="E16">
        <v>4</v>
      </c>
      <c r="F16" s="1">
        <v>45555</v>
      </c>
      <c r="G16" s="1">
        <v>45611</v>
      </c>
      <c r="H16" t="s">
        <v>21</v>
      </c>
      <c r="I16" t="s">
        <v>11</v>
      </c>
      <c r="J16">
        <f>Table1[[#This Row],[Finish_Date]]-Table1[[#This Row],[Start_Date]]</f>
        <v>56</v>
      </c>
      <c r="K16" s="3" t="str">
        <f>TEXT(Table1[[#This Row],[Finish_Date]],"mmm")</f>
        <v>Nov</v>
      </c>
      <c r="L16" s="3">
        <f>YEAR(Table1[[#This Row],[Finish_Date]])</f>
        <v>2024</v>
      </c>
    </row>
    <row r="17" spans="1:12" x14ac:dyDescent="0.2">
      <c r="A17" t="s">
        <v>43</v>
      </c>
      <c r="B17" t="s">
        <v>13</v>
      </c>
      <c r="C17" t="s">
        <v>15</v>
      </c>
      <c r="D17">
        <v>442</v>
      </c>
      <c r="E17">
        <v>4</v>
      </c>
      <c r="F17" s="1">
        <v>45626</v>
      </c>
      <c r="G17" s="1">
        <v>45656</v>
      </c>
      <c r="H17" t="s">
        <v>21</v>
      </c>
      <c r="I17" t="s">
        <v>11</v>
      </c>
      <c r="J17">
        <f>Table1[[#This Row],[Finish_Date]]-Table1[[#This Row],[Start_Date]]</f>
        <v>30</v>
      </c>
      <c r="K17" s="3" t="str">
        <f>TEXT(Table1[[#This Row],[Finish_Date]],"mmm")</f>
        <v>Dec</v>
      </c>
      <c r="L17" s="3">
        <f>YEAR(Table1[[#This Row],[Finish_Date]])</f>
        <v>2024</v>
      </c>
    </row>
    <row r="18" spans="1:12" x14ac:dyDescent="0.2">
      <c r="A18" t="s">
        <v>44</v>
      </c>
      <c r="B18" t="s">
        <v>45</v>
      </c>
      <c r="C18" t="s">
        <v>14</v>
      </c>
      <c r="D18">
        <v>456</v>
      </c>
      <c r="E18">
        <v>4.2</v>
      </c>
      <c r="F18" s="1">
        <v>45660</v>
      </c>
      <c r="G18" s="1">
        <v>45694</v>
      </c>
      <c r="H18" t="s">
        <v>21</v>
      </c>
      <c r="I18" t="s">
        <v>46</v>
      </c>
      <c r="J18">
        <f>Table1[[#This Row],[Finish_Date]]-Table1[[#This Row],[Start_Date]]</f>
        <v>34</v>
      </c>
      <c r="K18" s="3" t="str">
        <f>TEXT(Table1[[#This Row],[Finish_Date]],"mmm")</f>
        <v>Feb</v>
      </c>
      <c r="L18" s="3">
        <f>YEAR(Table1[[#This Row],[Finish_Date]])</f>
        <v>2025</v>
      </c>
    </row>
    <row r="19" spans="1:12" x14ac:dyDescent="0.2">
      <c r="A19" t="s">
        <v>47</v>
      </c>
      <c r="B19" t="s">
        <v>10</v>
      </c>
      <c r="C19" t="s">
        <v>14</v>
      </c>
      <c r="D19">
        <v>527</v>
      </c>
      <c r="E19">
        <v>4</v>
      </c>
      <c r="F19" s="1">
        <v>45694</v>
      </c>
      <c r="G19" s="1">
        <v>45734</v>
      </c>
      <c r="H19" t="s">
        <v>21</v>
      </c>
      <c r="I19" t="s">
        <v>11</v>
      </c>
      <c r="J19">
        <f>Table1[[#This Row],[Finish_Date]]-Table1[[#This Row],[Start_Date]]</f>
        <v>40</v>
      </c>
      <c r="K19" s="3" t="str">
        <f>TEXT(Table1[[#This Row],[Finish_Date]],"mmm")</f>
        <v>Mar</v>
      </c>
      <c r="L19" s="3">
        <f>YEAR(Table1[[#This Row],[Finish_Date]])</f>
        <v>2025</v>
      </c>
    </row>
    <row r="20" spans="1:12" x14ac:dyDescent="0.2">
      <c r="A20" t="s">
        <v>48</v>
      </c>
      <c r="B20" t="s">
        <v>45</v>
      </c>
      <c r="C20" t="s">
        <v>14</v>
      </c>
      <c r="D20">
        <v>626</v>
      </c>
      <c r="E20">
        <v>4.3</v>
      </c>
      <c r="F20" s="1">
        <v>45764</v>
      </c>
      <c r="G20" s="1">
        <v>45765</v>
      </c>
      <c r="H20" t="s">
        <v>21</v>
      </c>
      <c r="I20" t="s">
        <v>11</v>
      </c>
      <c r="J20">
        <f>Table1[[#This Row],[Finish_Date]]-Table1[[#This Row],[Start_Date]]</f>
        <v>1</v>
      </c>
      <c r="K20" s="3" t="str">
        <f>TEXT(Table1[[#This Row],[Finish_Date]],"mmm")</f>
        <v>Apr</v>
      </c>
      <c r="L20" s="3">
        <f>YEAR(Table1[[#This Row],[Finish_Date]])</f>
        <v>2025</v>
      </c>
    </row>
    <row r="21" spans="1:12" x14ac:dyDescent="0.2">
      <c r="A21" t="s">
        <v>49</v>
      </c>
      <c r="B21" t="s">
        <v>45</v>
      </c>
      <c r="C21" t="s">
        <v>14</v>
      </c>
      <c r="D21">
        <v>705</v>
      </c>
      <c r="E21">
        <v>4.5</v>
      </c>
      <c r="F21" s="1">
        <v>45778</v>
      </c>
      <c r="G21" s="1">
        <v>45778</v>
      </c>
      <c r="H21" t="s">
        <v>21</v>
      </c>
      <c r="I21" t="s">
        <v>11</v>
      </c>
      <c r="J21">
        <f>Table1[[#This Row],[Finish_Date]]-Table1[[#This Row],[Start_Date]]</f>
        <v>0</v>
      </c>
      <c r="K21" s="3" t="str">
        <f>TEXT(Table1[[#This Row],[Finish_Date]],"mmm")</f>
        <v>May</v>
      </c>
      <c r="L21" s="3">
        <f>YEAR(Table1[[#This Row],[Finish_Date]])</f>
        <v>2025</v>
      </c>
    </row>
    <row r="22" spans="1:12" x14ac:dyDescent="0.2">
      <c r="A22" t="s">
        <v>50</v>
      </c>
      <c r="B22" t="s">
        <v>45</v>
      </c>
      <c r="C22" t="s">
        <v>14</v>
      </c>
      <c r="D22">
        <v>229</v>
      </c>
      <c r="E22">
        <v>3.5</v>
      </c>
      <c r="F22" s="1">
        <v>45799</v>
      </c>
      <c r="G22" s="1">
        <v>45799</v>
      </c>
      <c r="H22" t="s">
        <v>21</v>
      </c>
      <c r="I22" t="s">
        <v>11</v>
      </c>
      <c r="J22">
        <f>Table1[[#This Row],[Finish_Date]]-Table1[[#This Row],[Start_Date]]</f>
        <v>0</v>
      </c>
      <c r="K22" s="3" t="str">
        <f>TEXT(Table1[[#This Row],[Finish_Date]],"mmm")</f>
        <v>May</v>
      </c>
      <c r="L22" s="3">
        <f>YEAR(Table1[[#This Row],[Finish_Date]])</f>
        <v>2025</v>
      </c>
    </row>
    <row r="23" spans="1:12" x14ac:dyDescent="0.2">
      <c r="A23" t="s">
        <v>51</v>
      </c>
      <c r="B23" t="s">
        <v>45</v>
      </c>
      <c r="C23" t="s">
        <v>14</v>
      </c>
      <c r="D23">
        <v>751</v>
      </c>
      <c r="E23">
        <v>3.8</v>
      </c>
      <c r="F23" s="1">
        <v>45799</v>
      </c>
      <c r="G23" s="1">
        <v>45804</v>
      </c>
      <c r="H23" t="s">
        <v>21</v>
      </c>
      <c r="I23" t="s">
        <v>11</v>
      </c>
      <c r="J23">
        <f>Table1[[#This Row],[Finish_Date]]-Table1[[#This Row],[Start_Date]]</f>
        <v>5</v>
      </c>
      <c r="K23" s="3" t="str">
        <f>TEXT(Table1[[#This Row],[Finish_Date]],"mmm")</f>
        <v>May</v>
      </c>
      <c r="L23" s="3">
        <f>YEAR(Table1[[#This Row],[Finish_Date]])</f>
        <v>2025</v>
      </c>
    </row>
    <row r="24" spans="1:12" x14ac:dyDescent="0.2">
      <c r="A24" t="s">
        <v>52</v>
      </c>
      <c r="B24" t="s">
        <v>53</v>
      </c>
      <c r="C24" t="s">
        <v>15</v>
      </c>
      <c r="D24">
        <v>254</v>
      </c>
      <c r="E24">
        <v>3.7</v>
      </c>
      <c r="F24" s="1">
        <v>45805</v>
      </c>
      <c r="G24" s="1">
        <v>45808</v>
      </c>
      <c r="H24" t="s">
        <v>21</v>
      </c>
      <c r="I24" t="s">
        <v>11</v>
      </c>
      <c r="J24">
        <f>Table1[[#This Row],[Finish_Date]]-Table1[[#This Row],[Start_Date]]</f>
        <v>3</v>
      </c>
      <c r="K24" s="3" t="str">
        <f>TEXT(Table1[[#This Row],[Finish_Date]],"mmm")</f>
        <v>May</v>
      </c>
      <c r="L24" s="3">
        <f>YEAR(Table1[[#This Row],[Finish_Date]])</f>
        <v>2025</v>
      </c>
    </row>
    <row r="25" spans="1:12" x14ac:dyDescent="0.2">
      <c r="A25" t="s">
        <v>55</v>
      </c>
      <c r="B25" t="s">
        <v>45</v>
      </c>
      <c r="C25" t="s">
        <v>14</v>
      </c>
      <c r="D25">
        <v>435</v>
      </c>
      <c r="E25">
        <v>4.5</v>
      </c>
      <c r="F25" s="1">
        <v>45808</v>
      </c>
      <c r="G25" s="1">
        <v>45813</v>
      </c>
      <c r="H25" t="s">
        <v>21</v>
      </c>
      <c r="I25" t="s">
        <v>11</v>
      </c>
      <c r="J25">
        <f>Table1[[#This Row],[Finish_Date]]-Table1[[#This Row],[Start_Date]]</f>
        <v>5</v>
      </c>
      <c r="K25" s="3" t="str">
        <f>TEXT(Table1[[#This Row],[Finish_Date]],"mmm")</f>
        <v>Jun</v>
      </c>
      <c r="L25" s="3">
        <f>YEAR(Table1[[#This Row],[Finish_Date]])</f>
        <v>2025</v>
      </c>
    </row>
    <row r="26" spans="1:12" x14ac:dyDescent="0.2">
      <c r="A26" t="s">
        <v>56</v>
      </c>
      <c r="B26" t="s">
        <v>45</v>
      </c>
      <c r="C26" t="s">
        <v>14</v>
      </c>
      <c r="D26">
        <v>406</v>
      </c>
      <c r="E26">
        <v>3.9</v>
      </c>
      <c r="F26" s="1">
        <v>45818</v>
      </c>
      <c r="G26" s="1">
        <v>45820</v>
      </c>
      <c r="H26" t="s">
        <v>21</v>
      </c>
      <c r="I26" t="s">
        <v>11</v>
      </c>
      <c r="J26">
        <f>Table1[[#This Row],[Finish_Date]]-Table1[[#This Row],[Start_Date]]</f>
        <v>2</v>
      </c>
      <c r="K26" s="3" t="str">
        <f>TEXT(Table1[[#This Row],[Finish_Date]],"mmm")</f>
        <v>Jun</v>
      </c>
      <c r="L26" s="3">
        <f>YEAR(Table1[[#This Row],[Finish_Date]])</f>
        <v>2025</v>
      </c>
    </row>
    <row r="27" spans="1:12" x14ac:dyDescent="0.2">
      <c r="A27" t="s">
        <v>57</v>
      </c>
      <c r="B27" t="s">
        <v>58</v>
      </c>
      <c r="C27" t="s">
        <v>15</v>
      </c>
      <c r="D27">
        <v>123</v>
      </c>
      <c r="E27">
        <v>4</v>
      </c>
      <c r="F27" s="1">
        <v>45821</v>
      </c>
      <c r="G27" s="1">
        <v>45822</v>
      </c>
      <c r="H27" t="s">
        <v>21</v>
      </c>
      <c r="I27" t="s">
        <v>11</v>
      </c>
      <c r="J27">
        <f>Table1[[#This Row],[Finish_Date]]-Table1[[#This Row],[Start_Date]]</f>
        <v>1</v>
      </c>
      <c r="K27" s="3" t="str">
        <f>TEXT(Table1[[#This Row],[Finish_Date]],"mmm")</f>
        <v>Jun</v>
      </c>
      <c r="L27" s="3">
        <f>YEAR(Table1[[#This Row],[Finish_Date]])</f>
        <v>2025</v>
      </c>
    </row>
    <row r="28" spans="1:12" x14ac:dyDescent="0.2">
      <c r="A28" t="s">
        <v>59</v>
      </c>
      <c r="B28" t="s">
        <v>45</v>
      </c>
      <c r="C28" t="s">
        <v>14</v>
      </c>
      <c r="D28">
        <v>420</v>
      </c>
      <c r="E28">
        <v>3.6</v>
      </c>
      <c r="F28" s="1">
        <v>45824</v>
      </c>
      <c r="G28" s="1">
        <v>45831</v>
      </c>
      <c r="H28" t="s">
        <v>21</v>
      </c>
      <c r="I28" t="s">
        <v>11</v>
      </c>
      <c r="J28">
        <f>Table1[[#This Row],[Finish_Date]]-Table1[[#This Row],[Start_Date]]</f>
        <v>7</v>
      </c>
      <c r="K28" s="3" t="str">
        <f>TEXT(Table1[[#This Row],[Finish_Date]],"mmm")</f>
        <v>Jun</v>
      </c>
      <c r="L28" s="3">
        <f>YEAR(Table1[[#This Row],[Finish_Date]])</f>
        <v>2025</v>
      </c>
    </row>
    <row r="29" spans="1:12" x14ac:dyDescent="0.2">
      <c r="A29" t="s">
        <v>60</v>
      </c>
      <c r="B29" t="s">
        <v>45</v>
      </c>
      <c r="C29" t="s">
        <v>14</v>
      </c>
      <c r="D29">
        <v>565</v>
      </c>
      <c r="E29">
        <v>3.9</v>
      </c>
      <c r="F29" s="1">
        <v>45837</v>
      </c>
      <c r="G29" s="1">
        <v>45843</v>
      </c>
      <c r="H29" t="s">
        <v>21</v>
      </c>
      <c r="I29" t="s">
        <v>11</v>
      </c>
      <c r="J29">
        <f>Table1[[#This Row],[Finish_Date]]-Table1[[#This Row],[Start_Date]]</f>
        <v>6</v>
      </c>
      <c r="K29" s="3" t="str">
        <f>TEXT(Table1[[#This Row],[Finish_Date]],"mmm")</f>
        <v>Jul</v>
      </c>
      <c r="L29" s="3">
        <f>YEAR(Table1[[#This Row],[Finish_Date]])</f>
        <v>2025</v>
      </c>
    </row>
    <row r="30" spans="1:12" x14ac:dyDescent="0.2">
      <c r="A30" t="s">
        <v>61</v>
      </c>
      <c r="B30" t="s">
        <v>45</v>
      </c>
      <c r="C30" t="s">
        <v>14</v>
      </c>
      <c r="D30">
        <v>648</v>
      </c>
      <c r="E30">
        <v>3.4</v>
      </c>
      <c r="F30" s="1">
        <v>45847</v>
      </c>
      <c r="G30" s="1">
        <v>45851</v>
      </c>
      <c r="H30" t="s">
        <v>21</v>
      </c>
      <c r="I30" t="s">
        <v>11</v>
      </c>
      <c r="J30">
        <f>Table1[[#This Row],[Finish_Date]]-Table1[[#This Row],[Start_Date]]</f>
        <v>4</v>
      </c>
      <c r="K30" s="3" t="str">
        <f>TEXT(Table1[[#This Row],[Finish_Date]],"mmm")</f>
        <v>Jul</v>
      </c>
      <c r="L30" s="3">
        <f>YEAR(Table1[[#This Row],[Finish_Date]])</f>
        <v>2025</v>
      </c>
    </row>
    <row r="31" spans="1:12" x14ac:dyDescent="0.2">
      <c r="A31" t="s">
        <v>62</v>
      </c>
      <c r="B31" t="s">
        <v>45</v>
      </c>
      <c r="C31" t="s">
        <v>14</v>
      </c>
      <c r="D31">
        <v>693</v>
      </c>
      <c r="E31">
        <v>3.8</v>
      </c>
      <c r="F31" s="1">
        <v>45852</v>
      </c>
      <c r="G31" s="1">
        <v>45865</v>
      </c>
      <c r="H31" t="s">
        <v>21</v>
      </c>
      <c r="I31" t="s">
        <v>11</v>
      </c>
      <c r="J31">
        <f>Table1[[#This Row],[Finish_Date]]-Table1[[#This Row],[Start_Date]]</f>
        <v>13</v>
      </c>
      <c r="K31" s="3" t="str">
        <f>TEXT(Table1[[#This Row],[Finish_Date]],"mmm")</f>
        <v>Jul</v>
      </c>
      <c r="L31" s="3">
        <f>YEAR(Table1[[#This Row],[Finish_Date]])</f>
        <v>2025</v>
      </c>
    </row>
    <row r="32" spans="1:12" x14ac:dyDescent="0.2">
      <c r="A32" t="s">
        <v>63</v>
      </c>
      <c r="B32" t="s">
        <v>45</v>
      </c>
      <c r="C32" t="s">
        <v>14</v>
      </c>
      <c r="D32">
        <v>664</v>
      </c>
      <c r="E32">
        <v>3.8</v>
      </c>
      <c r="F32" s="1">
        <v>45852</v>
      </c>
      <c r="G32" s="1">
        <v>45866</v>
      </c>
      <c r="H32" t="s">
        <v>21</v>
      </c>
      <c r="I32" t="s">
        <v>11</v>
      </c>
      <c r="J32">
        <f>Table1[[#This Row],[Finish_Date]]-Table1[[#This Row],[Start_Date]]</f>
        <v>14</v>
      </c>
      <c r="K32" s="3" t="str">
        <f>TEXT(Table1[[#This Row],[Finish_Date]],"mmm")</f>
        <v>Jul</v>
      </c>
      <c r="L32" s="3">
        <f>YEAR(Table1[[#This Row],[Finish_Date]])</f>
        <v>2025</v>
      </c>
    </row>
    <row r="33" spans="1:12" x14ac:dyDescent="0.2">
      <c r="A33" t="s">
        <v>64</v>
      </c>
      <c r="B33" t="s">
        <v>45</v>
      </c>
      <c r="C33" t="s">
        <v>14</v>
      </c>
      <c r="D33">
        <v>984</v>
      </c>
      <c r="E33">
        <v>3.5</v>
      </c>
      <c r="F33" s="1">
        <v>45868</v>
      </c>
      <c r="G33" s="1">
        <v>45883</v>
      </c>
      <c r="H33" t="s">
        <v>21</v>
      </c>
      <c r="I33" t="s">
        <v>11</v>
      </c>
      <c r="J33">
        <f>Table1[[#This Row],[Finish_Date]]-Table1[[#This Row],[Start_Date]]</f>
        <v>15</v>
      </c>
      <c r="K33" s="3" t="str">
        <f>TEXT(Table1[[#This Row],[Finish_Date]],"mmm")</f>
        <v>Aug</v>
      </c>
      <c r="L33" s="3">
        <f>YEAR(Table1[[#This Row],[Finish_Date]])</f>
        <v>2025</v>
      </c>
    </row>
    <row r="34" spans="1:12" x14ac:dyDescent="0.2">
      <c r="A34" t="s">
        <v>65</v>
      </c>
      <c r="B34" t="s">
        <v>66</v>
      </c>
      <c r="C34" t="s">
        <v>15</v>
      </c>
      <c r="D34">
        <v>246</v>
      </c>
      <c r="E34">
        <v>3.5</v>
      </c>
      <c r="F34" s="1">
        <v>45883</v>
      </c>
      <c r="G34" s="1">
        <v>45904</v>
      </c>
      <c r="H34" t="s">
        <v>21</v>
      </c>
      <c r="I34" t="s">
        <v>11</v>
      </c>
      <c r="J34">
        <f>Table1[[#This Row],[Finish_Date]]-Table1[[#This Row],[Start_Date]]</f>
        <v>21</v>
      </c>
      <c r="K34" s="3" t="str">
        <f>TEXT(Table1[[#This Row],[Finish_Date]],"mmm")</f>
        <v>Sep</v>
      </c>
      <c r="L34" s="3">
        <f>YEAR(Table1[[#This Row],[Finish_Date]])</f>
        <v>2025</v>
      </c>
    </row>
    <row r="35" spans="1:12" x14ac:dyDescent="0.2">
      <c r="A35" t="s">
        <v>67</v>
      </c>
      <c r="B35" t="s">
        <v>68</v>
      </c>
      <c r="C35" t="s">
        <v>15</v>
      </c>
      <c r="D35">
        <v>358</v>
      </c>
      <c r="E35">
        <v>5</v>
      </c>
      <c r="F35" s="1">
        <v>45908</v>
      </c>
      <c r="G35" s="1">
        <v>45914</v>
      </c>
      <c r="H35" t="s">
        <v>21</v>
      </c>
      <c r="I35" t="s">
        <v>11</v>
      </c>
      <c r="J35">
        <f>Table1[[#This Row],[Finish_Date]]-Table1[[#This Row],[Start_Date]]</f>
        <v>6</v>
      </c>
      <c r="K35" s="3" t="str">
        <f>TEXT(Table1[[#This Row],[Finish_Date]],"mmm")</f>
        <v>Sep</v>
      </c>
      <c r="L35" s="3">
        <f>YEAR(Table1[[#This Row],[Finish_Date]])</f>
        <v>2025</v>
      </c>
    </row>
    <row r="36" spans="1:12" x14ac:dyDescent="0.2">
      <c r="A36" t="s">
        <v>69</v>
      </c>
      <c r="B36" t="s">
        <v>45</v>
      </c>
      <c r="C36" t="s">
        <v>14</v>
      </c>
      <c r="D36">
        <v>803</v>
      </c>
      <c r="E36">
        <v>4</v>
      </c>
      <c r="F36" s="1">
        <v>45974</v>
      </c>
      <c r="G36" s="1">
        <v>45980</v>
      </c>
      <c r="H36" t="s">
        <v>21</v>
      </c>
      <c r="I36" t="s">
        <v>11</v>
      </c>
      <c r="J36">
        <f>Table1[[#This Row],[Finish_Date]]-Table1[[#This Row],[Start_Date]]</f>
        <v>6</v>
      </c>
      <c r="K36" s="3" t="str">
        <f>TEXT(Table1[[#This Row],[Finish_Date]],"mmm")</f>
        <v>Nov</v>
      </c>
      <c r="L36" s="3">
        <f>YEAR(Table1[[#This Row],[Finish_Date]])</f>
        <v>2025</v>
      </c>
    </row>
    <row r="37" spans="1:12" x14ac:dyDescent="0.2">
      <c r="A37" t="s">
        <v>70</v>
      </c>
      <c r="B37" t="s">
        <v>45</v>
      </c>
      <c r="C37" t="s">
        <v>14</v>
      </c>
      <c r="D37">
        <v>805</v>
      </c>
      <c r="E37">
        <v>4.0999999999999996</v>
      </c>
      <c r="F37" s="1">
        <v>45987</v>
      </c>
      <c r="G37" s="1">
        <v>45992</v>
      </c>
      <c r="H37" t="s">
        <v>21</v>
      </c>
      <c r="I37" t="s">
        <v>11</v>
      </c>
      <c r="J37">
        <f>Table1[[#This Row],[Finish_Date]]-Table1[[#This Row],[Start_Date]]</f>
        <v>5</v>
      </c>
      <c r="K37" s="3" t="str">
        <f>TEXT(Table1[[#This Row],[Finish_Date]],"mmm")</f>
        <v>Dec</v>
      </c>
      <c r="L37" s="3">
        <f>YEAR(Table1[[#This Row],[Finish_Date]])</f>
        <v>2025</v>
      </c>
    </row>
    <row r="38" spans="1:12" x14ac:dyDescent="0.2">
      <c r="A38" t="s">
        <v>71</v>
      </c>
      <c r="B38" t="s">
        <v>72</v>
      </c>
      <c r="C38" t="s">
        <v>15</v>
      </c>
      <c r="D38">
        <v>232</v>
      </c>
      <c r="E38">
        <v>5</v>
      </c>
      <c r="F38" s="1">
        <v>45994</v>
      </c>
      <c r="G38" s="1">
        <v>45995</v>
      </c>
      <c r="H38" t="s">
        <v>21</v>
      </c>
      <c r="I38" t="s">
        <v>11</v>
      </c>
      <c r="J38">
        <f>Table1[[#This Row],[Finish_Date]]-Table1[[#This Row],[Start_Date]]</f>
        <v>1</v>
      </c>
      <c r="K38" s="3" t="str">
        <f>TEXT(Table1[[#This Row],[Finish_Date]],"mmm")</f>
        <v>Dec</v>
      </c>
      <c r="L38" s="3">
        <f>YEAR(Table1[[#This Row],[Finish_Date]])</f>
        <v>2025</v>
      </c>
    </row>
    <row r="39" spans="1:12" x14ac:dyDescent="0.2">
      <c r="A39" t="s">
        <v>73</v>
      </c>
      <c r="B39" t="s">
        <v>45</v>
      </c>
      <c r="C39" t="s">
        <v>14</v>
      </c>
      <c r="D39">
        <v>951</v>
      </c>
      <c r="E39">
        <v>4.4000000000000004</v>
      </c>
      <c r="F39" s="1">
        <v>45997</v>
      </c>
      <c r="G39" s="1">
        <v>46001</v>
      </c>
      <c r="H39" t="s">
        <v>21</v>
      </c>
      <c r="I39" t="s">
        <v>11</v>
      </c>
      <c r="J39">
        <f>Table1[[#This Row],[Finish_Date]]-Table1[[#This Row],[Start_Date]]</f>
        <v>4</v>
      </c>
      <c r="K39" s="3" t="str">
        <f>TEXT(Table1[[#This Row],[Finish_Date]],"mmm")</f>
        <v>Dec</v>
      </c>
      <c r="L39" s="3">
        <f>YEAR(Table1[[#This Row],[Finish_Date]])</f>
        <v>2025</v>
      </c>
    </row>
    <row r="40" spans="1:12" x14ac:dyDescent="0.2">
      <c r="A40" t="s">
        <v>74</v>
      </c>
      <c r="B40" t="s">
        <v>75</v>
      </c>
      <c r="C40" t="s">
        <v>15</v>
      </c>
      <c r="D40">
        <v>268</v>
      </c>
      <c r="E40">
        <v>3.2</v>
      </c>
      <c r="F40" s="1">
        <v>46016</v>
      </c>
      <c r="G40" s="1">
        <v>46022</v>
      </c>
      <c r="H40" t="s">
        <v>21</v>
      </c>
      <c r="I40" t="s">
        <v>11</v>
      </c>
      <c r="J40">
        <f>Table1[[#This Row],[Finish_Date]]-Table1[[#This Row],[Start_Date]]</f>
        <v>6</v>
      </c>
      <c r="K40" s="3" t="str">
        <f>TEXT(Table1[[#This Row],[Finish_Date]],"mmm")</f>
        <v>Dec</v>
      </c>
      <c r="L40" s="3">
        <f>YEAR(Table1[[#This Row],[Finish_Date]])</f>
        <v>2025</v>
      </c>
    </row>
    <row r="41" spans="1:12" x14ac:dyDescent="0.2">
      <c r="A41" t="s">
        <v>37</v>
      </c>
      <c r="B41" t="s">
        <v>38</v>
      </c>
      <c r="C41" t="s">
        <v>15</v>
      </c>
      <c r="D41">
        <v>816</v>
      </c>
      <c r="E41">
        <v>5</v>
      </c>
      <c r="F41" s="1">
        <v>46024</v>
      </c>
      <c r="G41" s="1">
        <v>46035</v>
      </c>
      <c r="H41" t="s">
        <v>21</v>
      </c>
      <c r="I41" t="s">
        <v>11</v>
      </c>
      <c r="J41">
        <f>Table1[[#This Row],[Finish_Date]]-Table1[[#This Row],[Start_Date]]</f>
        <v>11</v>
      </c>
      <c r="K41" s="3" t="str">
        <f>TEXT(Table1[[#This Row],[Finish_Date]],"mmm")</f>
        <v>Jan</v>
      </c>
      <c r="L41" s="3">
        <f>YEAR(Table1[[#This Row],[Finish_Date]])</f>
        <v>2026</v>
      </c>
    </row>
    <row r="42" spans="1:12" x14ac:dyDescent="0.2">
      <c r="A42" t="s">
        <v>76</v>
      </c>
      <c r="B42" t="s">
        <v>32</v>
      </c>
      <c r="C42" t="s">
        <v>77</v>
      </c>
      <c r="D42">
        <v>239</v>
      </c>
      <c r="E42">
        <v>2.5</v>
      </c>
      <c r="F42" s="1">
        <v>46036</v>
      </c>
      <c r="G42" s="1">
        <v>46105</v>
      </c>
      <c r="H42" t="s">
        <v>21</v>
      </c>
      <c r="I42" t="s">
        <v>11</v>
      </c>
      <c r="J42">
        <f>Table1[[#This Row],[Finish_Date]]-Table1[[#This Row],[Start_Date]]</f>
        <v>69</v>
      </c>
      <c r="K42" s="3" t="str">
        <f>TEXT(Table1[[#This Row],[Finish_Date]],"mmm")</f>
        <v>Mar</v>
      </c>
      <c r="L42" s="3">
        <f>YEAR(Table1[[#This Row],[Finish_Date]])</f>
        <v>2026</v>
      </c>
    </row>
    <row r="43" spans="1:12" x14ac:dyDescent="0.2">
      <c r="A43" t="s">
        <v>78</v>
      </c>
      <c r="B43" t="s">
        <v>79</v>
      </c>
      <c r="C43" t="s">
        <v>14</v>
      </c>
      <c r="D43">
        <v>497</v>
      </c>
      <c r="F43" s="1">
        <v>46164</v>
      </c>
      <c r="G43" s="1">
        <v>46169</v>
      </c>
      <c r="H43" t="s">
        <v>21</v>
      </c>
      <c r="I43" t="s">
        <v>11</v>
      </c>
      <c r="J43">
        <f>Table1[[#This Row],[Finish_Date]]-Table1[[#This Row],[Start_Date]]</f>
        <v>5</v>
      </c>
      <c r="K43" s="3" t="str">
        <f>TEXT(Table1[[#This Row],[Finish_Date]],"mmm")</f>
        <v>May</v>
      </c>
      <c r="L43" s="3">
        <f>YEAR(Table1[[#This Row],[Finish_Date]])</f>
        <v>2026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5A61A-CB6C-D441-8CAA-380C88F22A9C}">
  <dimension ref="A1:B46"/>
  <sheetViews>
    <sheetView workbookViewId="0">
      <selection activeCell="C44" sqref="C44"/>
    </sheetView>
  </sheetViews>
  <sheetFormatPr baseColWidth="10" defaultRowHeight="16" x14ac:dyDescent="0.2"/>
  <sheetData>
    <row r="1" spans="1:2" x14ac:dyDescent="0.2">
      <c r="A1" s="4" t="s">
        <v>2</v>
      </c>
      <c r="B1" t="s">
        <v>83</v>
      </c>
    </row>
    <row r="2" spans="1:2" x14ac:dyDescent="0.2">
      <c r="A2" s="5" t="s">
        <v>14</v>
      </c>
      <c r="B2" s="3">
        <v>21</v>
      </c>
    </row>
    <row r="3" spans="1:2" x14ac:dyDescent="0.2">
      <c r="A3" s="5" t="s">
        <v>15</v>
      </c>
      <c r="B3" s="3">
        <v>15</v>
      </c>
    </row>
    <row r="4" spans="1:2" x14ac:dyDescent="0.2">
      <c r="A4" s="5" t="s">
        <v>28</v>
      </c>
      <c r="B4" s="3">
        <v>2</v>
      </c>
    </row>
    <row r="5" spans="1:2" x14ac:dyDescent="0.2">
      <c r="A5" s="5" t="s">
        <v>25</v>
      </c>
      <c r="B5" s="3">
        <v>1</v>
      </c>
    </row>
    <row r="6" spans="1:2" x14ac:dyDescent="0.2">
      <c r="A6" s="5" t="s">
        <v>18</v>
      </c>
      <c r="B6" s="3">
        <v>1</v>
      </c>
    </row>
    <row r="7" spans="1:2" x14ac:dyDescent="0.2">
      <c r="A7" s="5" t="s">
        <v>33</v>
      </c>
      <c r="B7" s="3">
        <v>1</v>
      </c>
    </row>
    <row r="8" spans="1:2" x14ac:dyDescent="0.2">
      <c r="A8" s="5" t="s">
        <v>77</v>
      </c>
      <c r="B8" s="3">
        <v>1</v>
      </c>
    </row>
    <row r="10" spans="1:2" x14ac:dyDescent="0.2">
      <c r="A10" s="4" t="s">
        <v>2</v>
      </c>
      <c r="B10" t="s">
        <v>84</v>
      </c>
    </row>
    <row r="11" spans="1:2" x14ac:dyDescent="0.2">
      <c r="A11" s="5" t="s">
        <v>14</v>
      </c>
      <c r="B11" s="3">
        <v>4.0149999999999997</v>
      </c>
    </row>
    <row r="12" spans="1:2" x14ac:dyDescent="0.2">
      <c r="A12" s="5" t="s">
        <v>15</v>
      </c>
      <c r="B12" s="3">
        <v>4.2200000000000006</v>
      </c>
    </row>
    <row r="13" spans="1:2" x14ac:dyDescent="0.2">
      <c r="A13" s="5" t="s">
        <v>33</v>
      </c>
      <c r="B13" s="3">
        <v>4</v>
      </c>
    </row>
    <row r="14" spans="1:2" x14ac:dyDescent="0.2">
      <c r="A14" s="5" t="s">
        <v>77</v>
      </c>
      <c r="B14" s="3">
        <v>2.5</v>
      </c>
    </row>
    <row r="15" spans="1:2" x14ac:dyDescent="0.2">
      <c r="A15" s="5" t="s">
        <v>28</v>
      </c>
      <c r="B15" s="3">
        <v>3.6</v>
      </c>
    </row>
    <row r="16" spans="1:2" x14ac:dyDescent="0.2">
      <c r="A16" s="5" t="s">
        <v>25</v>
      </c>
      <c r="B16" s="3">
        <v>4</v>
      </c>
    </row>
    <row r="17" spans="1:2" x14ac:dyDescent="0.2">
      <c r="A17" s="5" t="s">
        <v>18</v>
      </c>
      <c r="B17" s="3">
        <v>3.5</v>
      </c>
    </row>
    <row r="19" spans="1:2" x14ac:dyDescent="0.2">
      <c r="A19" s="4" t="s">
        <v>97</v>
      </c>
      <c r="B19" t="s">
        <v>96</v>
      </c>
    </row>
    <row r="20" spans="1:2" x14ac:dyDescent="0.2">
      <c r="A20" s="5" t="s">
        <v>85</v>
      </c>
      <c r="B20" s="3">
        <v>2</v>
      </c>
    </row>
    <row r="21" spans="1:2" x14ac:dyDescent="0.2">
      <c r="A21" s="5" t="s">
        <v>86</v>
      </c>
      <c r="B21" s="3">
        <v>4</v>
      </c>
    </row>
    <row r="22" spans="1:2" x14ac:dyDescent="0.2">
      <c r="A22" s="5" t="s">
        <v>87</v>
      </c>
      <c r="B22" s="3">
        <v>3</v>
      </c>
    </row>
    <row r="23" spans="1:2" x14ac:dyDescent="0.2">
      <c r="A23" s="5" t="s">
        <v>88</v>
      </c>
      <c r="B23" s="3">
        <v>2</v>
      </c>
    </row>
    <row r="24" spans="1:2" x14ac:dyDescent="0.2">
      <c r="A24" s="5" t="s">
        <v>89</v>
      </c>
      <c r="B24" s="3">
        <v>6</v>
      </c>
    </row>
    <row r="25" spans="1:2" x14ac:dyDescent="0.2">
      <c r="A25" s="5" t="s">
        <v>90</v>
      </c>
      <c r="B25" s="3">
        <v>5</v>
      </c>
    </row>
    <row r="26" spans="1:2" x14ac:dyDescent="0.2">
      <c r="A26" s="5" t="s">
        <v>91</v>
      </c>
      <c r="B26" s="3">
        <v>5</v>
      </c>
    </row>
    <row r="27" spans="1:2" x14ac:dyDescent="0.2">
      <c r="A27" s="5" t="s">
        <v>92</v>
      </c>
      <c r="B27" s="3">
        <v>4</v>
      </c>
    </row>
    <row r="28" spans="1:2" x14ac:dyDescent="0.2">
      <c r="A28" s="5" t="s">
        <v>93</v>
      </c>
      <c r="B28" s="3">
        <v>4</v>
      </c>
    </row>
    <row r="29" spans="1:2" x14ac:dyDescent="0.2">
      <c r="A29" s="5" t="s">
        <v>94</v>
      </c>
      <c r="B29" s="3">
        <v>2</v>
      </c>
    </row>
    <row r="30" spans="1:2" x14ac:dyDescent="0.2">
      <c r="A30" s="5" t="s">
        <v>95</v>
      </c>
      <c r="B30" s="3">
        <v>5</v>
      </c>
    </row>
    <row r="32" spans="1:2" x14ac:dyDescent="0.2">
      <c r="A32" s="4" t="s">
        <v>99</v>
      </c>
      <c r="B32" t="s">
        <v>98</v>
      </c>
    </row>
    <row r="33" spans="1:2" x14ac:dyDescent="0.2">
      <c r="A33" s="5" t="s">
        <v>14</v>
      </c>
      <c r="B33" s="3">
        <v>10.80952380952381</v>
      </c>
    </row>
    <row r="34" spans="1:2" x14ac:dyDescent="0.2">
      <c r="A34" s="5" t="s">
        <v>15</v>
      </c>
      <c r="B34" s="3">
        <v>13.4</v>
      </c>
    </row>
    <row r="35" spans="1:2" x14ac:dyDescent="0.2">
      <c r="A35" s="5" t="s">
        <v>33</v>
      </c>
      <c r="B35" s="3">
        <v>14</v>
      </c>
    </row>
    <row r="36" spans="1:2" x14ac:dyDescent="0.2">
      <c r="A36" s="5" t="s">
        <v>77</v>
      </c>
      <c r="B36" s="3">
        <v>69</v>
      </c>
    </row>
    <row r="37" spans="1:2" x14ac:dyDescent="0.2">
      <c r="A37" s="5" t="s">
        <v>28</v>
      </c>
      <c r="B37" s="3">
        <v>10</v>
      </c>
    </row>
    <row r="38" spans="1:2" x14ac:dyDescent="0.2">
      <c r="A38" s="5" t="s">
        <v>25</v>
      </c>
      <c r="B38" s="3">
        <v>29</v>
      </c>
    </row>
    <row r="39" spans="1:2" x14ac:dyDescent="0.2">
      <c r="A39" s="5" t="s">
        <v>18</v>
      </c>
      <c r="B39" s="3">
        <v>7</v>
      </c>
    </row>
    <row r="41" spans="1:2" x14ac:dyDescent="0.2">
      <c r="A41" s="4" t="s">
        <v>1</v>
      </c>
      <c r="B41" t="s">
        <v>83</v>
      </c>
    </row>
    <row r="42" spans="1:2" x14ac:dyDescent="0.2">
      <c r="A42" s="5" t="s">
        <v>45</v>
      </c>
      <c r="B42" s="3">
        <v>16</v>
      </c>
    </row>
    <row r="43" spans="1:2" x14ac:dyDescent="0.2">
      <c r="A43" s="5" t="s">
        <v>13</v>
      </c>
      <c r="B43" s="3">
        <v>3</v>
      </c>
    </row>
    <row r="44" spans="1:2" x14ac:dyDescent="0.2">
      <c r="A44" s="5" t="s">
        <v>10</v>
      </c>
      <c r="B44" s="3">
        <v>3</v>
      </c>
    </row>
    <row r="45" spans="1:2" x14ac:dyDescent="0.2">
      <c r="A45" s="5" t="s">
        <v>38</v>
      </c>
      <c r="B45" s="3">
        <v>2</v>
      </c>
    </row>
    <row r="46" spans="1:2" x14ac:dyDescent="0.2">
      <c r="A46" s="5" t="s">
        <v>32</v>
      </c>
      <c r="B46" s="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771B7-499E-4F45-8223-6B7D468B8ADA}">
  <dimension ref="A1:O7"/>
  <sheetViews>
    <sheetView showGridLines="0" workbookViewId="0">
      <selection activeCell="K40" sqref="K40"/>
    </sheetView>
  </sheetViews>
  <sheetFormatPr baseColWidth="10" defaultRowHeight="16" x14ac:dyDescent="0.2"/>
  <cols>
    <col min="1" max="1" width="10.33203125" bestFit="1" customWidth="1"/>
    <col min="4" max="4" width="15.6640625" bestFit="1" customWidth="1"/>
    <col min="5" max="5" width="10.83203125" bestFit="1" customWidth="1"/>
  </cols>
  <sheetData>
    <row r="1" spans="1:15" ht="24" customHeight="1" x14ac:dyDescent="0.2">
      <c r="A1" s="6" t="s">
        <v>101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x14ac:dyDescent="0.2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ht="16" customHeight="1" x14ac:dyDescent="0.2">
      <c r="A3" s="10" t="s">
        <v>102</v>
      </c>
      <c r="B3" s="9"/>
      <c r="C3" s="9"/>
      <c r="D3" s="8"/>
      <c r="E3" s="10" t="s">
        <v>103</v>
      </c>
      <c r="F3" s="9"/>
      <c r="G3" s="9"/>
      <c r="I3" s="10" t="s">
        <v>104</v>
      </c>
      <c r="J3" s="9"/>
      <c r="K3" s="9"/>
      <c r="M3" s="10" t="s">
        <v>105</v>
      </c>
      <c r="N3" s="9"/>
      <c r="O3" s="9"/>
    </row>
    <row r="4" spans="1:15" x14ac:dyDescent="0.2">
      <c r="A4" s="9"/>
      <c r="B4" s="9"/>
      <c r="C4" s="9"/>
      <c r="E4" s="9"/>
      <c r="F4" s="9"/>
      <c r="G4" s="9"/>
      <c r="I4" s="9"/>
      <c r="J4" s="9"/>
      <c r="K4" s="9"/>
      <c r="M4" s="9"/>
      <c r="N4" s="9"/>
      <c r="O4" s="9"/>
    </row>
    <row r="5" spans="1:15" x14ac:dyDescent="0.2">
      <c r="A5" s="9"/>
      <c r="B5" s="9"/>
      <c r="C5" s="9"/>
      <c r="E5" s="9"/>
      <c r="F5" s="9"/>
      <c r="G5" s="9"/>
      <c r="I5" s="9"/>
      <c r="J5" s="9"/>
      <c r="K5" s="9"/>
      <c r="M5" s="9"/>
      <c r="N5" s="9"/>
      <c r="O5" s="9"/>
    </row>
    <row r="6" spans="1:15" x14ac:dyDescent="0.2">
      <c r="A6" s="9"/>
      <c r="B6" s="9"/>
      <c r="C6" s="9"/>
      <c r="E6" s="9"/>
      <c r="F6" s="9"/>
      <c r="G6" s="9"/>
      <c r="I6" s="9"/>
      <c r="J6" s="9"/>
      <c r="K6" s="9"/>
      <c r="M6" s="9"/>
      <c r="N6" s="9"/>
      <c r="O6" s="9"/>
    </row>
    <row r="7" spans="1:15" x14ac:dyDescent="0.2">
      <c r="A7" s="9"/>
      <c r="B7" s="9"/>
      <c r="C7" s="9"/>
      <c r="E7" s="9"/>
      <c r="F7" s="9"/>
      <c r="G7" s="9"/>
      <c r="I7" s="9"/>
      <c r="J7" s="9"/>
      <c r="K7" s="9"/>
      <c r="M7" s="9"/>
      <c r="N7" s="9"/>
      <c r="O7" s="9"/>
    </row>
  </sheetData>
  <mergeCells count="5">
    <mergeCell ref="E3:G7"/>
    <mergeCell ref="I3:K7"/>
    <mergeCell ref="M3:O7"/>
    <mergeCell ref="A1:O2"/>
    <mergeCell ref="A3:C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Pivot_Tables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Garcia, Brandon</dc:creator>
  <cp:lastModifiedBy>Martin Garcia, Brandon</cp:lastModifiedBy>
  <dcterms:created xsi:type="dcterms:W3CDTF">2026-05-27T21:14:13Z</dcterms:created>
  <dcterms:modified xsi:type="dcterms:W3CDTF">2026-05-28T07:04:36Z</dcterms:modified>
</cp:coreProperties>
</file>